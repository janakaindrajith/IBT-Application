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95" windowWidth="20115" windowHeight="7875" tabRatio="268" activeTab="1"/>
  </bookViews>
  <sheets>
    <sheet name="Sheet1" sheetId="1" r:id="rId1"/>
    <sheet name="UPLOAD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L9" i="1" l="1"/>
  <c r="M9" i="1"/>
  <c r="N9" i="1"/>
  <c r="K4" i="1" l="1"/>
  <c r="L4" i="1" s="1"/>
  <c r="K5" i="1"/>
  <c r="L5" i="1" s="1"/>
  <c r="K6" i="1"/>
  <c r="L6" i="1" s="1"/>
  <c r="K7" i="1"/>
  <c r="L7" i="1" s="1"/>
  <c r="K8" i="1"/>
  <c r="L8" i="1" s="1"/>
  <c r="K3" i="1"/>
  <c r="L3" i="1" s="1"/>
  <c r="N3" i="1" l="1"/>
  <c r="M3" i="1"/>
  <c r="N8" i="1"/>
  <c r="N7" i="1"/>
  <c r="N6" i="1"/>
  <c r="N5" i="1"/>
  <c r="N4" i="1"/>
  <c r="M8" i="1"/>
  <c r="M7" i="1"/>
  <c r="M6" i="1"/>
  <c r="M5" i="1"/>
  <c r="M4" i="1"/>
</calcChain>
</file>

<file path=xl/comments1.xml><?xml version="1.0" encoding="utf-8"?>
<comments xmlns="http://schemas.openxmlformats.org/spreadsheetml/2006/main">
  <authors>
    <author>Author</author>
    <author>Nayomi Edirisinghe</author>
  </authors>
  <commentList>
    <comment ref="E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Thanks &amp; Regards
S.Sharmila
</t>
        </r>
      </text>
    </comment>
    <comment ref="E6" authorId="1">
      <text>
        <r>
          <rPr>
            <b/>
            <sz val="9"/>
            <color indexed="81"/>
            <rFont val="Tahoma"/>
            <family val="2"/>
          </rPr>
          <t>Nayomi Edirisinghe:</t>
        </r>
        <r>
          <rPr>
            <sz val="9"/>
            <color indexed="81"/>
            <rFont val="Tahoma"/>
            <family val="2"/>
          </rPr>
          <t xml:space="preserve">
supun pending clearing</t>
        </r>
      </text>
    </comment>
    <comment ref="E7" authorId="1">
      <text>
        <r>
          <rPr>
            <b/>
            <sz val="9"/>
            <color indexed="81"/>
            <rFont val="Tahoma"/>
            <family val="2"/>
          </rPr>
          <t>Nayomi Edirisinghe:</t>
        </r>
        <r>
          <rPr>
            <sz val="9"/>
            <color indexed="81"/>
            <rFont val="Tahoma"/>
            <family val="2"/>
          </rPr>
          <t xml:space="preserve">
sup</t>
        </r>
      </text>
    </comment>
    <comment ref="E8" authorId="1">
      <text>
        <r>
          <rPr>
            <b/>
            <sz val="9"/>
            <color indexed="81"/>
            <rFont val="Tahoma"/>
            <family val="2"/>
          </rPr>
          <t>Nayomi Edirisinghe:</t>
        </r>
        <r>
          <rPr>
            <sz val="9"/>
            <color indexed="81"/>
            <rFont val="Tahoma"/>
            <family val="2"/>
          </rPr>
          <t xml:space="preserve">
supun pending clearing</t>
        </r>
      </text>
    </comment>
    <comment ref="E9" authorId="1">
      <text>
        <r>
          <rPr>
            <b/>
            <sz val="9"/>
            <color indexed="81"/>
            <rFont val="Tahoma"/>
            <family val="2"/>
          </rPr>
          <t>Nayomi Edirisinghe:</t>
        </r>
        <r>
          <rPr>
            <sz val="9"/>
            <color indexed="81"/>
            <rFont val="Tahoma"/>
            <family val="2"/>
          </rPr>
          <t xml:space="preserve">
supun pending clearing</t>
        </r>
      </text>
    </comment>
  </commentList>
</comments>
</file>

<file path=xl/sharedStrings.xml><?xml version="1.0" encoding="utf-8"?>
<sst xmlns="http://schemas.openxmlformats.org/spreadsheetml/2006/main" count="180" uniqueCount="76">
  <si>
    <t>2016/09/30</t>
  </si>
  <si>
    <t>010183176                   /.</t>
  </si>
  <si>
    <t>631-SDC473806/2</t>
  </si>
  <si>
    <t>M2</t>
  </si>
  <si>
    <t>2016/09/02</t>
  </si>
  <si>
    <t>2016NIT00051</t>
  </si>
  <si>
    <t>099-SDC8128/2</t>
  </si>
  <si>
    <t>1500</t>
  </si>
  <si>
    <t>212-SDC339777/2</t>
  </si>
  <si>
    <t>01015649</t>
  </si>
  <si>
    <t>187-SDC668546/2</t>
  </si>
  <si>
    <t>0196607</t>
  </si>
  <si>
    <t>077-SDC679535/2</t>
  </si>
  <si>
    <t>01001150</t>
  </si>
  <si>
    <t>084-SDC516120/2</t>
  </si>
  <si>
    <t>0117613</t>
  </si>
  <si>
    <t>-</t>
  </si>
  <si>
    <t>0072524949</t>
  </si>
  <si>
    <t>;RENEWAL</t>
  </si>
  <si>
    <t>SERIAL</t>
  </si>
  <si>
    <t>TRANSACTION_CODE</t>
  </si>
  <si>
    <t>VOUCHER_DATE</t>
  </si>
  <si>
    <t>PAYMENT_MODE</t>
  </si>
  <si>
    <t>NARRATION</t>
  </si>
  <si>
    <t>POLICY_NUMBER</t>
  </si>
  <si>
    <t>AMOUNT</t>
  </si>
  <si>
    <t>CASH_ACCOUNT</t>
  </si>
  <si>
    <t>POLICY_BRANCH</t>
  </si>
  <si>
    <t>PAYING_PARTY</t>
  </si>
  <si>
    <t>INSTRUMENT_NUMBER</t>
  </si>
  <si>
    <t>INSTRUMENT_DATE</t>
  </si>
  <si>
    <t>STATUS</t>
  </si>
  <si>
    <t>ROWID</t>
  </si>
  <si>
    <t>L1000</t>
  </si>
  <si>
    <t>30/09/2016</t>
  </si>
  <si>
    <t>B</t>
  </si>
  <si>
    <t>CF20000005</t>
  </si>
  <si>
    <t>HDO</t>
  </si>
  <si>
    <t>03/10/2016</t>
  </si>
  <si>
    <t>631-SDC473806/2;RENEWAL</t>
  </si>
  <si>
    <t>099-SDC8128/2;RENEWAL</t>
  </si>
  <si>
    <t>212-SDC339777/2;RENEWAL</t>
  </si>
  <si>
    <t>187-SDC668546/2;RENEWAL</t>
  </si>
  <si>
    <t>077-SDC679535/2;RENEWAL</t>
  </si>
  <si>
    <t>084-SDC516120/2;RENEWAL</t>
  </si>
  <si>
    <t>02/09/2016</t>
  </si>
  <si>
    <t>26/01/2016</t>
  </si>
  <si>
    <t>23/03/2016</t>
  </si>
  <si>
    <t>14/03/2016</t>
  </si>
  <si>
    <t>010183176</t>
  </si>
  <si>
    <t>030283907</t>
  </si>
  <si>
    <t>010233744</t>
  </si>
  <si>
    <t>010115649</t>
  </si>
  <si>
    <t>010196607</t>
  </si>
  <si>
    <t>010011150</t>
  </si>
  <si>
    <t>010117613</t>
  </si>
  <si>
    <t>CF20000021</t>
  </si>
  <si>
    <t>RV/16/2/HDO/00129569</t>
  </si>
  <si>
    <t>RV/16/2/HDO/00129570</t>
  </si>
  <si>
    <t>RV/16/2/HDO/00129571</t>
  </si>
  <si>
    <t>RV/16/2/HDO/00129572</t>
  </si>
  <si>
    <t>RV/16/2/HDO/00129573</t>
  </si>
  <si>
    <t>RV/16/2/HDO/00129574</t>
  </si>
  <si>
    <t>RV/16/2/HDO/00129575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</si>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</sst>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333333"/>
      <name val="Verdana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omic Sans MS"/>
      <family val="4"/>
    </font>
    <font>
      <sz val="11"/>
      <color theme="1"/>
      <name val="Comic Sans MS"/>
      <family val="4"/>
    </font>
    <font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7">
    <xf numFmtId="0" fontId="0" fillId="0" borderId="0" xfId="0"/>
    <xf numFmtId="4" fontId="0" fillId="0" borderId="0" xfId="0" applyNumberFormat="1"/>
    <xf numFmtId="0" fontId="0" fillId="0" borderId="0" xfId="0" applyFill="1"/>
    <xf numFmtId="43" fontId="0" fillId="0" borderId="0" xfId="1" applyFont="1" applyFill="1"/>
    <xf numFmtId="0" fontId="3" fillId="0" borderId="0" xfId="0" applyFont="1" applyFill="1"/>
    <xf numFmtId="0" fontId="3" fillId="0" borderId="0" xfId="0" applyFont="1" applyFill="1" applyAlignment="1">
      <alignment horizontal="left"/>
    </xf>
    <xf numFmtId="43" fontId="3" fillId="0" borderId="0" xfId="1" applyFont="1" applyFill="1" applyAlignment="1">
      <alignment horizontal="right"/>
    </xf>
    <xf numFmtId="15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43" fontId="5" fillId="0" borderId="0" xfId="1" applyFont="1" applyFill="1" applyBorder="1"/>
    <xf numFmtId="0" fontId="5" fillId="0" borderId="0" xfId="0" applyFont="1" applyFill="1" applyBorder="1"/>
    <xf numFmtId="15" fontId="6" fillId="0" borderId="0" xfId="0" applyNumberFormat="1" applyFont="1" applyFill="1" applyBorder="1" applyAlignment="1">
      <alignment horizont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horizontal="left"/>
    </xf>
    <xf numFmtId="43" fontId="6" fillId="0" borderId="0" xfId="1" applyFont="1" applyFill="1" applyBorder="1"/>
    <xf numFmtId="0" fontId="5" fillId="0" borderId="0" xfId="0" quotePrefix="1" applyFont="1" applyFill="1" applyBorder="1" applyAlignment="1">
      <alignment horizontal="left"/>
    </xf>
    <xf numFmtId="4" fontId="5" fillId="0" borderId="0" xfId="0" applyNumberFormat="1" applyFont="1" applyFill="1" applyBorder="1"/>
    <xf numFmtId="0" fontId="0" fillId="0" borderId="0" xfId="0" applyAlignment="1">
      <alignment horizontal="center"/>
    </xf>
    <xf numFmtId="43" fontId="0" fillId="0" borderId="0" xfId="1" applyFont="1" applyFill="1" applyAlignment="1">
      <alignment horizontal="center"/>
    </xf>
    <xf numFmtId="4" fontId="3" fillId="0" borderId="0" xfId="0" applyNumberFormat="1" applyFont="1" applyFill="1" applyAlignment="1">
      <alignment horizontal="center"/>
    </xf>
    <xf numFmtId="0" fontId="5" fillId="0" borderId="0" xfId="0" quotePrefix="1" applyFont="1" applyFill="1" applyBorder="1" applyAlignment="1">
      <alignment horizontal="center"/>
    </xf>
    <xf numFmtId="0" fontId="0" fillId="2" borderId="0" xfId="0" applyFill="1" applyBorder="1"/>
    <xf numFmtId="0" fontId="6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2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49" fontId="0" fillId="0" borderId="0" xfId="0" applyNumberFormat="1"/>
    <xf numFmtId="49" fontId="10" fillId="3" borderId="3" xfId="3" applyNumberFormat="1" applyFont="1" applyFill="1" applyBorder="1" applyAlignment="1">
      <alignment horizontal="center"/>
    </xf>
    <xf numFmtId="49" fontId="10" fillId="3" borderId="4" xfId="3" applyNumberFormat="1" applyFont="1" applyFill="1" applyBorder="1" applyAlignment="1">
      <alignment horizontal="center"/>
    </xf>
    <xf numFmtId="49" fontId="10" fillId="3" borderId="4" xfId="4" applyNumberFormat="1" applyFont="1" applyFill="1" applyBorder="1" applyAlignment="1">
      <alignment horizontal="right"/>
    </xf>
    <xf numFmtId="49" fontId="10" fillId="3" borderId="4" xfId="5" applyNumberFormat="1" applyFont="1" applyFill="1" applyBorder="1" applyAlignment="1"/>
    <xf numFmtId="49" fontId="10" fillId="3" borderId="4" xfId="3" applyNumberFormat="1" applyFont="1" applyFill="1" applyBorder="1" applyAlignment="1"/>
    <xf numFmtId="49" fontId="10" fillId="3" borderId="4" xfId="3" applyNumberFormat="1" applyFont="1" applyFill="1" applyBorder="1" applyAlignment="1">
      <alignment horizontal="right"/>
    </xf>
    <xf numFmtId="49" fontId="10" fillId="3" borderId="4" xfId="3" applyNumberFormat="1" applyFont="1" applyFill="1" applyBorder="1" applyAlignment="1">
      <alignment horizontal="left"/>
    </xf>
    <xf numFmtId="49" fontId="10" fillId="3" borderId="5" xfId="3" applyNumberFormat="1" applyFont="1" applyFill="1" applyBorder="1" applyAlignment="1"/>
    <xf numFmtId="49" fontId="11" fillId="0" borderId="2" xfId="0" applyNumberFormat="1" applyFont="1" applyBorder="1" applyAlignment="1">
      <alignment horizontal="center"/>
    </xf>
    <xf numFmtId="49" fontId="10" fillId="0" borderId="2" xfId="3" applyNumberFormat="1" applyFont="1" applyBorder="1" applyAlignment="1">
      <alignment horizontal="center"/>
    </xf>
    <xf numFmtId="49" fontId="11" fillId="0" borderId="2" xfId="3" applyNumberFormat="1" applyFont="1" applyBorder="1" applyAlignment="1">
      <alignment horizontal="center"/>
    </xf>
    <xf numFmtId="49" fontId="10" fillId="0" borderId="2" xfId="2" applyNumberFormat="1" applyFont="1" applyFill="1" applyBorder="1"/>
    <xf numFmtId="49" fontId="10" fillId="0" borderId="2" xfId="2" applyNumberFormat="1" applyFont="1" applyFill="1" applyBorder="1" applyAlignment="1">
      <alignment horizontal="center"/>
    </xf>
    <xf numFmtId="49" fontId="11" fillId="0" borderId="2" xfId="0" applyNumberFormat="1" applyFont="1" applyBorder="1"/>
    <xf numFmtId="0" fontId="0" fillId="0" borderId="0" xfId="0" applyNumberFormat="1"/>
    <xf numFmtId="0" fontId="12" fillId="4" borderId="0" xfId="0" applyFont="1" applyFill="1" applyAlignment="1">
      <alignment vertical="center" wrapText="1"/>
    </xf>
    <xf numFmtId="4" fontId="12" fillId="4" borderId="0" xfId="0" applyNumberFormat="1" applyFont="1" applyFill="1" applyAlignment="1">
      <alignment vertical="center" wrapText="1"/>
    </xf>
    <xf numFmtId="0" fontId="12" fillId="5" borderId="0" xfId="0" applyFont="1" applyFill="1" applyAlignment="1">
      <alignment vertical="center" wrapText="1"/>
    </xf>
    <xf numFmtId="4" fontId="12" fillId="5" borderId="0" xfId="0" applyNumberFormat="1" applyFont="1" applyFill="1" applyAlignment="1">
      <alignment vertical="center" wrapText="1"/>
    </xf>
  </cellXfs>
  <cellStyles count="6">
    <cellStyle name="Comma" xfId="1" builtinId="3"/>
    <cellStyle name="Comma 3" xfId="4"/>
    <cellStyle name="Comma 3 63" xfId="5"/>
    <cellStyle name="Normal" xfId="0" builtinId="0"/>
    <cellStyle name="Normal 2" xfId="2"/>
    <cellStyle name="Normal 5 36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3:O9"/>
  <sheetViews>
    <sheetView topLeftCell="C1" workbookViewId="0">
      <selection activeCell="I13" sqref="I13"/>
    </sheetView>
  </sheetViews>
  <sheetFormatPr defaultRowHeight="15" x14ac:dyDescent="0.25"/>
  <cols>
    <col min="3" max="3" width="10.7109375" bestFit="1" customWidth="1"/>
    <col min="4" max="4" width="13.28515625" style="17" customWidth="1"/>
    <col min="5" max="5" width="13" style="17" customWidth="1"/>
    <col min="6" max="6" width="9.5703125" bestFit="1" customWidth="1"/>
    <col min="7" max="7" width="21" customWidth="1"/>
    <col min="8" max="8" width="14.28515625" customWidth="1"/>
    <col min="9" max="9" width="22.42578125" customWidth="1"/>
    <col min="10" max="10" width="22.5703125" customWidth="1"/>
    <col min="11" max="11" width="25.7109375" bestFit="1" customWidth="1"/>
    <col min="15" max="15" width="11.140625" bestFit="1" customWidth="1"/>
  </cols>
  <sheetData>
    <row r="3" spans="3:15" x14ac:dyDescent="0.25">
      <c r="C3" t="s">
        <v>0</v>
      </c>
      <c r="D3" s="17" t="s">
        <v>3</v>
      </c>
      <c r="E3" s="22">
        <v>10183176</v>
      </c>
      <c r="F3" s="1">
        <v>2300</v>
      </c>
      <c r="G3" t="s">
        <v>2</v>
      </c>
      <c r="I3" t="s">
        <v>57</v>
      </c>
      <c r="J3" t="s">
        <v>1</v>
      </c>
      <c r="K3" s="21" t="str">
        <f>SUBSTITUTE(TRIM(MID(H3,7,4)&amp;G3&amp;";RENEWAL")," ","")</f>
        <v>631-SDC473806/2;RENEWAL</v>
      </c>
      <c r="L3" s="21" t="str">
        <f t="shared" ref="L3" si="0">IF(ISERROR(SUBSTITUTE(SUBSTITUTE(K3,LEFT(K3,6),""),RIGHT(SUBSTITUTE(K3,LEFT(K3,6),""),10),"")*1)&amp;" ¦ "&amp;ISERROR(SUBSTITUTE(SUBSTITUTE(K3,LEFT(K3,7),""),RIGHT(SUBSTITUTE(K3,LEFT(K3,7),""),10),"")*1)="TRUE ¦ TRUE","ERROR","OK")</f>
        <v>OK</v>
      </c>
      <c r="M3" s="21" t="str">
        <f t="shared" ref="M3" si="1">IF(ISERROR(LEFT(K3,3)*1)=TRUE,"ERROR","OK")</f>
        <v>OK</v>
      </c>
      <c r="N3" s="21" t="str">
        <f t="shared" ref="N3" si="2">IF(RIGHT(K3,8)=";RENEWAL","OK","ERROR")</f>
        <v>OK</v>
      </c>
      <c r="O3" t="s">
        <v>36</v>
      </c>
    </row>
    <row r="4" spans="3:15" x14ac:dyDescent="0.25">
      <c r="C4" s="2" t="s">
        <v>4</v>
      </c>
      <c r="D4" s="18" t="s">
        <v>3</v>
      </c>
      <c r="E4" s="23">
        <v>30283907</v>
      </c>
      <c r="F4" s="3">
        <v>50</v>
      </c>
      <c r="G4" s="2" t="s">
        <v>6</v>
      </c>
      <c r="I4" t="s">
        <v>58</v>
      </c>
      <c r="J4" s="2" t="s">
        <v>5</v>
      </c>
      <c r="K4" s="21" t="str">
        <f t="shared" ref="K4:K8" si="3">SUBSTITUTE(TRIM(MID(H4,7,4)&amp;G4&amp;";RENEWAL")," ","")</f>
        <v>099-SDC8128/2;RENEWAL</v>
      </c>
      <c r="L4" s="21" t="str">
        <f t="shared" ref="L4:L8" si="4">IF(ISERROR(SUBSTITUTE(SUBSTITUTE(K4,LEFT(K4,6),""),RIGHT(SUBSTITUTE(K4,LEFT(K4,6),""),10),"")*1)&amp;" ¦ "&amp;ISERROR(SUBSTITUTE(SUBSTITUTE(K4,LEFT(K4,7),""),RIGHT(SUBSTITUTE(K4,LEFT(K4,7),""),10),"")*1)="TRUE ¦ TRUE","ERROR","OK")</f>
        <v>OK</v>
      </c>
      <c r="M4" s="21" t="str">
        <f t="shared" ref="M4:M8" si="5">IF(ISERROR(LEFT(K4,3)*1)=TRUE,"ERROR","OK")</f>
        <v>OK</v>
      </c>
      <c r="N4" s="21" t="str">
        <f t="shared" ref="N4:N8" si="6">IF(RIGHT(K4,8)=";RENEWAL","OK","ERROR")</f>
        <v>OK</v>
      </c>
      <c r="O4" t="s">
        <v>36</v>
      </c>
    </row>
    <row r="5" spans="3:15" x14ac:dyDescent="0.25">
      <c r="C5" s="4" t="s">
        <v>0</v>
      </c>
      <c r="D5" s="19" t="s">
        <v>3</v>
      </c>
      <c r="E5" s="24">
        <v>10233744</v>
      </c>
      <c r="F5" s="6">
        <v>1500</v>
      </c>
      <c r="G5" s="4" t="s">
        <v>8</v>
      </c>
      <c r="I5" t="s">
        <v>59</v>
      </c>
      <c r="J5" s="5" t="s">
        <v>7</v>
      </c>
      <c r="K5" s="21" t="str">
        <f t="shared" si="3"/>
        <v>212-SDC339777/2;RENEWAL</v>
      </c>
      <c r="L5" s="21" t="str">
        <f t="shared" si="4"/>
        <v>OK</v>
      </c>
      <c r="M5" s="21" t="str">
        <f t="shared" si="5"/>
        <v>OK</v>
      </c>
      <c r="N5" s="21" t="str">
        <f t="shared" si="6"/>
        <v>OK</v>
      </c>
      <c r="O5" t="s">
        <v>36</v>
      </c>
    </row>
    <row r="6" spans="3:15" x14ac:dyDescent="0.25">
      <c r="C6" s="7">
        <v>42395</v>
      </c>
      <c r="D6" s="17" t="s">
        <v>3</v>
      </c>
      <c r="E6" s="25">
        <v>10115649</v>
      </c>
      <c r="F6" s="9">
        <v>1062</v>
      </c>
      <c r="G6" s="8" t="s">
        <v>10</v>
      </c>
      <c r="I6" t="s">
        <v>60</v>
      </c>
      <c r="J6" s="8" t="s">
        <v>9</v>
      </c>
      <c r="K6" s="21" t="str">
        <f t="shared" si="3"/>
        <v>187-SDC668546/2;RENEWAL</v>
      </c>
      <c r="L6" s="21" t="str">
        <f t="shared" si="4"/>
        <v>OK</v>
      </c>
      <c r="M6" s="21" t="str">
        <f t="shared" si="5"/>
        <v>OK</v>
      </c>
      <c r="N6" s="21" t="str">
        <f t="shared" si="6"/>
        <v>OK</v>
      </c>
      <c r="O6" t="s">
        <v>36</v>
      </c>
    </row>
    <row r="7" spans="3:15" x14ac:dyDescent="0.25">
      <c r="C7" s="7">
        <v>42395</v>
      </c>
      <c r="D7" s="17" t="s">
        <v>3</v>
      </c>
      <c r="E7" s="25">
        <v>10196607</v>
      </c>
      <c r="F7" s="9">
        <v>2600</v>
      </c>
      <c r="G7" s="8" t="s">
        <v>12</v>
      </c>
      <c r="I7" t="s">
        <v>61</v>
      </c>
      <c r="J7" s="8" t="s">
        <v>11</v>
      </c>
      <c r="K7" s="21" t="str">
        <f t="shared" si="3"/>
        <v>077-SDC679535/2;RENEWAL</v>
      </c>
      <c r="L7" s="21" t="str">
        <f t="shared" si="4"/>
        <v>OK</v>
      </c>
      <c r="M7" s="21" t="str">
        <f t="shared" si="5"/>
        <v>OK</v>
      </c>
      <c r="N7" s="21" t="str">
        <f t="shared" si="6"/>
        <v>OK</v>
      </c>
      <c r="O7" t="s">
        <v>36</v>
      </c>
    </row>
    <row r="8" spans="3:15" x14ac:dyDescent="0.25">
      <c r="C8" s="11">
        <v>42452</v>
      </c>
      <c r="D8" s="17" t="s">
        <v>3</v>
      </c>
      <c r="E8" s="26">
        <v>10011150</v>
      </c>
      <c r="F8" s="14">
        <v>661</v>
      </c>
      <c r="G8" s="13" t="s">
        <v>14</v>
      </c>
      <c r="I8" t="s">
        <v>62</v>
      </c>
      <c r="J8" s="12" t="s">
        <v>13</v>
      </c>
      <c r="K8" s="21" t="str">
        <f t="shared" si="3"/>
        <v>084-SDC516120/2;RENEWAL</v>
      </c>
      <c r="L8" s="21" t="str">
        <f t="shared" si="4"/>
        <v>OK</v>
      </c>
      <c r="M8" s="21" t="str">
        <f t="shared" si="5"/>
        <v>OK</v>
      </c>
      <c r="N8" s="21" t="str">
        <f t="shared" si="6"/>
        <v>OK</v>
      </c>
      <c r="O8" t="s">
        <v>36</v>
      </c>
    </row>
    <row r="9" spans="3:15" x14ac:dyDescent="0.25">
      <c r="C9" s="11">
        <v>42443</v>
      </c>
      <c r="D9" s="20" t="s">
        <v>17</v>
      </c>
      <c r="E9" s="25">
        <v>10117613</v>
      </c>
      <c r="F9" s="16">
        <v>850</v>
      </c>
      <c r="G9" s="15" t="s">
        <v>16</v>
      </c>
      <c r="I9" t="s">
        <v>63</v>
      </c>
      <c r="J9" s="10" t="s">
        <v>15</v>
      </c>
      <c r="K9" s="21" t="s">
        <v>18</v>
      </c>
      <c r="L9" s="21" t="str">
        <f t="shared" ref="L9" si="7">IF(ISERROR(SUBSTITUTE(SUBSTITUTE(K9,LEFT(K9,6),""),RIGHT(SUBSTITUTE(K9,LEFT(K9,6),""),10),"")*1)&amp;" ¦ "&amp;ISERROR(SUBSTITUTE(SUBSTITUTE(K9,LEFT(K9,7),""),RIGHT(SUBSTITUTE(K9,LEFT(K9,7),""),10),"")*1)="TRUE ¦ TRUE","ERROR","OK")</f>
        <v>ERROR</v>
      </c>
      <c r="M9" s="21" t="str">
        <f t="shared" ref="M9" si="8">IF(ISERROR(LEFT(K9,3)*1)=TRUE,"ERROR","OK")</f>
        <v>ERROR</v>
      </c>
      <c r="N9" s="21" t="str">
        <f t="shared" ref="N9" si="9">IF(RIGHT(K9,8)=";RENEWAL","OK","ERROR")</f>
        <v>OK</v>
      </c>
      <c r="O9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16"/>
  <sheetViews>
    <sheetView tabSelected="1" workbookViewId="0">
      <selection activeCell="B16" sqref="B16"/>
    </sheetView>
  </sheetViews>
  <sheetFormatPr defaultRowHeight="15" x14ac:dyDescent="0.25"/>
  <cols>
    <col min="1" max="1" width="9.140625" style="27"/>
    <col min="2" max="2" width="10.42578125" style="27" bestFit="1" customWidth="1"/>
    <col min="3" max="3" width="26.140625" style="27" customWidth="1"/>
    <col min="4" max="4" width="21.5703125" style="27" customWidth="1"/>
    <col min="5" max="5" width="20.140625" style="27" customWidth="1"/>
    <col min="6" max="6" width="36.140625" style="27" bestFit="1" customWidth="1"/>
    <col min="7" max="7" width="19.7109375" style="27" bestFit="1" customWidth="1"/>
    <col min="8" max="8" width="14.140625" style="27" customWidth="1"/>
    <col min="9" max="9" width="19.42578125" style="27" bestFit="1" customWidth="1"/>
    <col min="10" max="10" width="19.5703125" style="27" bestFit="1" customWidth="1"/>
    <col min="11" max="11" width="9.140625" style="27"/>
    <col min="12" max="12" width="27" style="27" bestFit="1" customWidth="1"/>
    <col min="13" max="13" width="23.7109375" style="27" bestFit="1" customWidth="1"/>
    <col min="14" max="14" width="10.140625" style="27" bestFit="1" customWidth="1"/>
    <col min="15" max="16384" width="9.140625" style="27"/>
  </cols>
  <sheetData>
    <row r="3" spans="2:17" ht="15.75" thickBot="1" x14ac:dyDescent="0.3"/>
    <row r="4" spans="2:17" ht="16.5" x14ac:dyDescent="0.3">
      <c r="B4" s="28" t="s">
        <v>19</v>
      </c>
      <c r="C4" s="29" t="s">
        <v>20</v>
      </c>
      <c r="D4" s="29" t="s">
        <v>21</v>
      </c>
      <c r="E4" s="29" t="s">
        <v>22</v>
      </c>
      <c r="F4" s="29" t="s">
        <v>23</v>
      </c>
      <c r="G4" s="29" t="s">
        <v>24</v>
      </c>
      <c r="H4" s="30" t="s">
        <v>25</v>
      </c>
      <c r="I4" s="31" t="s">
        <v>26</v>
      </c>
      <c r="J4" s="29" t="s">
        <v>27</v>
      </c>
      <c r="K4" s="32" t="s">
        <v>28</v>
      </c>
      <c r="L4" s="33" t="s">
        <v>29</v>
      </c>
      <c r="M4" s="34" t="s">
        <v>30</v>
      </c>
      <c r="N4" s="32" t="s">
        <v>31</v>
      </c>
      <c r="O4" s="35" t="s">
        <v>32</v>
      </c>
    </row>
    <row r="5" spans="2:17" ht="16.5" x14ac:dyDescent="0.3">
      <c r="B5" s="36" t="s">
        <v>64</v>
      </c>
      <c r="C5" s="37" t="s">
        <v>33</v>
      </c>
      <c r="D5" s="38" t="s">
        <v>38</v>
      </c>
      <c r="E5" s="37" t="s">
        <v>35</v>
      </c>
      <c r="F5" s="39" t="s">
        <v>39</v>
      </c>
      <c r="G5" s="39" t="s">
        <v>49</v>
      </c>
      <c r="H5" s="40">
        <v>2300</v>
      </c>
      <c r="I5" s="37" t="s">
        <v>36</v>
      </c>
      <c r="J5" s="37" t="s">
        <v>37</v>
      </c>
      <c r="K5" s="41"/>
      <c r="L5" s="39" t="s">
        <v>34</v>
      </c>
      <c r="M5" s="39" t="s">
        <v>34</v>
      </c>
      <c r="N5" s="41"/>
      <c r="O5" s="41"/>
      <c r="P5"/>
      <c r="Q5" s="42"/>
    </row>
    <row r="6" spans="2:17" ht="16.5" x14ac:dyDescent="0.3">
      <c r="B6" s="36" t="s">
        <v>65</v>
      </c>
      <c r="C6" s="37" t="s">
        <v>33</v>
      </c>
      <c r="D6" s="38" t="s">
        <v>38</v>
      </c>
      <c r="E6" s="37" t="s">
        <v>35</v>
      </c>
      <c r="F6" s="39" t="s">
        <v>40</v>
      </c>
      <c r="G6" s="39" t="s">
        <v>50</v>
      </c>
      <c r="H6" s="40">
        <v>50</v>
      </c>
      <c r="I6" s="37" t="s">
        <v>36</v>
      </c>
      <c r="J6" s="37" t="s">
        <v>37</v>
      </c>
      <c r="K6" s="41"/>
      <c r="L6" s="39" t="s">
        <v>45</v>
      </c>
      <c r="M6" s="39" t="s">
        <v>45</v>
      </c>
      <c r="N6" s="41"/>
      <c r="O6" s="41"/>
      <c r="P6" s="2"/>
      <c r="Q6" s="42"/>
    </row>
    <row r="7" spans="2:17" ht="16.5" x14ac:dyDescent="0.3">
      <c r="B7" s="36" t="s">
        <v>66</v>
      </c>
      <c r="C7" s="37" t="s">
        <v>33</v>
      </c>
      <c r="D7" s="38" t="s">
        <v>38</v>
      </c>
      <c r="E7" s="37" t="s">
        <v>35</v>
      </c>
      <c r="F7" s="39" t="s">
        <v>41</v>
      </c>
      <c r="G7" s="39" t="s">
        <v>51</v>
      </c>
      <c r="H7" s="40">
        <v>1500</v>
      </c>
      <c r="I7" s="37" t="s">
        <v>36</v>
      </c>
      <c r="J7" s="37" t="s">
        <v>37</v>
      </c>
      <c r="K7" s="41"/>
      <c r="L7" s="39" t="s">
        <v>34</v>
      </c>
      <c r="M7" s="39" t="s">
        <v>34</v>
      </c>
      <c r="N7" s="41"/>
      <c r="O7" s="41"/>
      <c r="P7" s="4"/>
      <c r="Q7" s="42"/>
    </row>
    <row r="8" spans="2:17" ht="16.5" x14ac:dyDescent="0.3">
      <c r="B8" s="36" t="s">
        <v>67</v>
      </c>
      <c r="C8" s="37" t="s">
        <v>33</v>
      </c>
      <c r="D8" s="38" t="s">
        <v>38</v>
      </c>
      <c r="E8" s="37" t="s">
        <v>35</v>
      </c>
      <c r="F8" s="39" t="s">
        <v>42</v>
      </c>
      <c r="G8" s="39" t="s">
        <v>52</v>
      </c>
      <c r="H8" s="40">
        <v>1062</v>
      </c>
      <c r="I8" s="37" t="s">
        <v>36</v>
      </c>
      <c r="J8" s="37" t="s">
        <v>37</v>
      </c>
      <c r="K8" s="41"/>
      <c r="L8" s="39" t="s">
        <v>46</v>
      </c>
      <c r="M8" s="39" t="s">
        <v>46</v>
      </c>
      <c r="N8" s="41"/>
      <c r="O8" s="41"/>
      <c r="P8" s="7"/>
      <c r="Q8" s="42"/>
    </row>
    <row r="9" spans="2:17" ht="16.5" x14ac:dyDescent="0.3">
      <c r="B9" s="36" t="s">
        <v>68</v>
      </c>
      <c r="C9" s="37" t="s">
        <v>33</v>
      </c>
      <c r="D9" s="38" t="s">
        <v>38</v>
      </c>
      <c r="E9" s="37" t="s">
        <v>35</v>
      </c>
      <c r="F9" s="39" t="s">
        <v>43</v>
      </c>
      <c r="G9" s="39" t="s">
        <v>53</v>
      </c>
      <c r="H9" s="40">
        <v>2600</v>
      </c>
      <c r="I9" s="37" t="s">
        <v>36</v>
      </c>
      <c r="J9" s="37" t="s">
        <v>37</v>
      </c>
      <c r="K9" s="41"/>
      <c r="L9" s="39" t="s">
        <v>46</v>
      </c>
      <c r="M9" s="39" t="s">
        <v>46</v>
      </c>
      <c r="N9" s="41"/>
      <c r="O9" s="41"/>
      <c r="P9" s="7"/>
      <c r="Q9" s="42"/>
    </row>
    <row r="10" spans="2:17" ht="16.5" x14ac:dyDescent="0.3">
      <c r="B10" s="36" t="s">
        <v>69</v>
      </c>
      <c r="C10" s="37" t="s">
        <v>33</v>
      </c>
      <c r="D10" s="38" t="s">
        <v>38</v>
      </c>
      <c r="E10" s="37" t="s">
        <v>35</v>
      </c>
      <c r="F10" s="39" t="s">
        <v>44</v>
      </c>
      <c r="G10" s="39" t="s">
        <v>54</v>
      </c>
      <c r="H10" s="40">
        <v>661</v>
      </c>
      <c r="I10" s="37" t="s">
        <v>36</v>
      </c>
      <c r="J10" s="37" t="s">
        <v>37</v>
      </c>
      <c r="K10" s="41"/>
      <c r="L10" s="39" t="s">
        <v>47</v>
      </c>
      <c r="M10" s="39" t="s">
        <v>47</v>
      </c>
      <c r="N10" s="41"/>
      <c r="O10" s="41"/>
      <c r="P10" s="11"/>
      <c r="Q10" s="42"/>
    </row>
    <row r="11" spans="2:17" ht="16.5" x14ac:dyDescent="0.3">
      <c r="B11" s="36" t="s">
        <v>70</v>
      </c>
      <c r="C11" s="37" t="s">
        <v>33</v>
      </c>
      <c r="D11" s="38" t="s">
        <v>38</v>
      </c>
      <c r="E11" s="37" t="s">
        <v>35</v>
      </c>
      <c r="F11" s="39" t="s">
        <v>18</v>
      </c>
      <c r="G11" s="39" t="s">
        <v>55</v>
      </c>
      <c r="H11" s="40">
        <v>850</v>
      </c>
      <c r="I11" s="37" t="s">
        <v>56</v>
      </c>
      <c r="J11" s="37" t="s">
        <v>37</v>
      </c>
      <c r="K11" s="41"/>
      <c r="L11" s="39" t="s">
        <v>48</v>
      </c>
      <c r="M11" s="39" t="s">
        <v>48</v>
      </c>
      <c r="N11" s="41"/>
      <c r="O11" s="41"/>
      <c r="P11" s="11"/>
      <c r="Q11" s="42"/>
    </row>
    <row r="12" spans="2:17" ht="16.5" x14ac:dyDescent="0.3">
      <c r="B12" s="36" t="s">
        <v>71</v>
      </c>
      <c r="C12" s="37" t="s">
        <v>33</v>
      </c>
      <c r="D12" s="38" t="s">
        <v>38</v>
      </c>
      <c r="E12" s="37" t="s">
        <v>35</v>
      </c>
      <c r="F12" s="39" t="s">
        <v>39</v>
      </c>
      <c r="G12" s="39" t="s">
        <v>49</v>
      </c>
      <c r="H12" s="40">
        <v>2300</v>
      </c>
      <c r="I12" s="37" t="s">
        <v>36</v>
      </c>
      <c r="J12" s="37" t="s">
        <v>37</v>
      </c>
      <c r="K12" s="41"/>
      <c r="L12" s="39" t="s">
        <v>34</v>
      </c>
      <c r="M12" s="39" t="s">
        <v>34</v>
      </c>
      <c r="N12" s="41"/>
      <c r="O12" s="41"/>
    </row>
    <row r="13" spans="2:17" ht="16.5" x14ac:dyDescent="0.3">
      <c r="B13" s="36" t="s">
        <v>72</v>
      </c>
      <c r="C13" s="37" t="s">
        <v>33</v>
      </c>
      <c r="D13" s="38" t="s">
        <v>38</v>
      </c>
      <c r="E13" s="37" t="s">
        <v>35</v>
      </c>
      <c r="F13" s="39" t="s">
        <v>40</v>
      </c>
      <c r="G13" s="39" t="s">
        <v>50</v>
      </c>
      <c r="H13" s="40">
        <v>50</v>
      </c>
      <c r="I13" s="37" t="s">
        <v>36</v>
      </c>
      <c r="J13" s="37" t="s">
        <v>37</v>
      </c>
      <c r="K13" s="41"/>
      <c r="L13" s="39" t="s">
        <v>45</v>
      </c>
      <c r="M13" s="39" t="s">
        <v>45</v>
      </c>
      <c r="N13" s="41"/>
      <c r="O13" s="41"/>
    </row>
    <row r="14" spans="2:17" ht="16.5" x14ac:dyDescent="0.3">
      <c r="B14" s="36" t="s">
        <v>73</v>
      </c>
      <c r="C14" s="37" t="s">
        <v>33</v>
      </c>
      <c r="D14" s="38" t="s">
        <v>38</v>
      </c>
      <c r="E14" s="37" t="s">
        <v>35</v>
      </c>
      <c r="F14" s="39" t="s">
        <v>41</v>
      </c>
      <c r="G14" s="39" t="s">
        <v>51</v>
      </c>
      <c r="H14" s="40">
        <v>1500</v>
      </c>
      <c r="I14" s="37" t="s">
        <v>36</v>
      </c>
      <c r="J14" s="37" t="s">
        <v>37</v>
      </c>
      <c r="K14" s="41"/>
      <c r="L14" s="39" t="s">
        <v>34</v>
      </c>
      <c r="M14" s="39" t="s">
        <v>34</v>
      </c>
      <c r="N14" s="41"/>
      <c r="O14" s="41"/>
    </row>
    <row r="15" spans="2:17" ht="16.5" x14ac:dyDescent="0.3">
      <c r="B15" s="36" t="s">
        <v>74</v>
      </c>
      <c r="C15" s="37" t="s">
        <v>33</v>
      </c>
      <c r="D15" s="38" t="s">
        <v>38</v>
      </c>
      <c r="E15" s="37" t="s">
        <v>35</v>
      </c>
      <c r="F15" s="39" t="s">
        <v>42</v>
      </c>
      <c r="G15" s="39" t="s">
        <v>52</v>
      </c>
      <c r="H15" s="40">
        <v>1062</v>
      </c>
      <c r="I15" s="37" t="s">
        <v>36</v>
      </c>
      <c r="J15" s="37" t="s">
        <v>37</v>
      </c>
      <c r="K15" s="41"/>
      <c r="L15" s="39" t="s">
        <v>46</v>
      </c>
      <c r="M15" s="39" t="s">
        <v>46</v>
      </c>
      <c r="N15" s="41"/>
      <c r="O15" s="41"/>
    </row>
    <row r="16" spans="2:17" ht="16.5" x14ac:dyDescent="0.3">
      <c r="B16" s="36" t="s">
        <v>75</v>
      </c>
      <c r="C16" s="37" t="s">
        <v>33</v>
      </c>
      <c r="D16" s="38" t="s">
        <v>38</v>
      </c>
      <c r="E16" s="37" t="s">
        <v>35</v>
      </c>
      <c r="F16" s="39" t="s">
        <v>43</v>
      </c>
      <c r="G16" s="39" t="s">
        <v>53</v>
      </c>
      <c r="H16" s="40">
        <v>2600</v>
      </c>
      <c r="I16" s="37" t="s">
        <v>36</v>
      </c>
      <c r="J16" s="37" t="s">
        <v>37</v>
      </c>
      <c r="K16" s="41"/>
      <c r="L16" s="39" t="s">
        <v>46</v>
      </c>
      <c r="M16" s="39" t="s">
        <v>46</v>
      </c>
      <c r="N16" s="41"/>
      <c r="O16" s="4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9"/>
  <sheetViews>
    <sheetView workbookViewId="0">
      <selection activeCell="E15" sqref="E15"/>
    </sheetView>
  </sheetViews>
  <sheetFormatPr defaultRowHeight="15" customHeight="1" x14ac:dyDescent="0.25"/>
  <cols>
    <col min="4" max="4" width="21" bestFit="1" customWidth="1"/>
  </cols>
  <sheetData>
    <row r="3" spans="3:5" ht="15" customHeight="1" x14ac:dyDescent="0.25">
      <c r="C3" s="43">
        <v>10183176</v>
      </c>
      <c r="D3" s="43" t="s">
        <v>57</v>
      </c>
      <c r="E3" s="44">
        <v>2300</v>
      </c>
    </row>
    <row r="4" spans="3:5" ht="15" customHeight="1" x14ac:dyDescent="0.25">
      <c r="C4" s="45">
        <v>30283907</v>
      </c>
      <c r="D4" s="45" t="s">
        <v>58</v>
      </c>
      <c r="E4" s="45">
        <v>50</v>
      </c>
    </row>
    <row r="5" spans="3:5" ht="15" customHeight="1" x14ac:dyDescent="0.25">
      <c r="C5" s="43">
        <v>10233744</v>
      </c>
      <c r="D5" s="43" t="s">
        <v>59</v>
      </c>
      <c r="E5" s="44">
        <v>1500</v>
      </c>
    </row>
    <row r="6" spans="3:5" ht="15" customHeight="1" x14ac:dyDescent="0.25">
      <c r="C6" s="45">
        <v>10115649</v>
      </c>
      <c r="D6" s="45" t="s">
        <v>60</v>
      </c>
      <c r="E6" s="46">
        <v>1062</v>
      </c>
    </row>
    <row r="7" spans="3:5" ht="15" customHeight="1" x14ac:dyDescent="0.25">
      <c r="C7" s="43">
        <v>10196607</v>
      </c>
      <c r="D7" s="43" t="s">
        <v>61</v>
      </c>
      <c r="E7" s="44">
        <v>2600</v>
      </c>
    </row>
    <row r="8" spans="3:5" ht="15" customHeight="1" x14ac:dyDescent="0.25">
      <c r="C8" s="45">
        <v>10011150</v>
      </c>
      <c r="D8" s="45" t="s">
        <v>62</v>
      </c>
      <c r="E8" s="45">
        <v>661</v>
      </c>
    </row>
    <row r="9" spans="3:5" ht="15" customHeight="1" x14ac:dyDescent="0.25">
      <c r="C9" s="43">
        <v>10117613</v>
      </c>
      <c r="D9" s="43" t="s">
        <v>63</v>
      </c>
      <c r="E9" s="43">
        <v>850</v>
      </c>
    </row>
  </sheetData>
  <sortState ref="C3:E9">
    <sortCondition ref="D3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UPLOAD</vt:lpstr>
      <vt:lpstr>Sheet3</vt:lpstr>
    </vt:vector>
  </TitlesOfParts>
  <Company>snj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Nayomi Edirisinghe</dc:creator>
  <cp:lastModifiedBy>Janaka Indrajith</cp:lastModifiedBy>
  <dcterms:created xsi:type="dcterms:W3CDTF">2016-10-03T11:50:04Z</dcterms:created>
  <dcterms:modified xsi:type="dcterms:W3CDTF">2016-10-22T17:18:03Z</dcterms:modified>
</cp:coreProperties>
</file>