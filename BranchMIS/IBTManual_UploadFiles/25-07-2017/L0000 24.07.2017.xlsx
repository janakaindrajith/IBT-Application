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7650"/>
  </bookViews>
  <sheets>
    <sheet name="Sheet1" sheetId="1" r:id="rId1"/>
    <sheet name="UP" sheetId="2" r:id="rId2"/>
    <sheet name="Sheet3" sheetId="3" r:id="rId3"/>
  </sheets>
  <definedNames>
    <definedName name="_xlnm._FilterDatabase" localSheetId="0" hidden="1">Sheet1!$C$2:$O$427</definedName>
  </definedNames>
  <calcPr calcId="144525"/>
</workbook>
</file>

<file path=xl/calcChain.xml><?xml version="1.0" encoding="utf-8"?>
<calcChain xmlns="http://schemas.openxmlformats.org/spreadsheetml/2006/main">
  <c r="F427" i="1" l="1"/>
  <c r="K3" i="1"/>
  <c r="K4" i="1"/>
  <c r="N4" i="1" s="1"/>
  <c r="K5" i="1"/>
  <c r="K6" i="1"/>
  <c r="K7" i="1"/>
  <c r="L7" i="1"/>
  <c r="K8" i="1"/>
  <c r="K9" i="1"/>
  <c r="N9" i="1" s="1"/>
  <c r="K10" i="1"/>
  <c r="N10" i="1"/>
  <c r="K11" i="1"/>
  <c r="K12" i="1"/>
  <c r="N12" i="1" s="1"/>
  <c r="K13" i="1"/>
  <c r="K14" i="1"/>
  <c r="K15" i="1"/>
  <c r="L15" i="1"/>
  <c r="K16" i="1"/>
  <c r="K17" i="1"/>
  <c r="N17" i="1" s="1"/>
  <c r="K18" i="1"/>
  <c r="N18" i="1" s="1"/>
  <c r="K19" i="1"/>
  <c r="K20" i="1"/>
  <c r="K21" i="1"/>
  <c r="K22" i="1"/>
  <c r="K23" i="1"/>
  <c r="L23" i="1" s="1"/>
  <c r="K24" i="1"/>
  <c r="K25" i="1"/>
  <c r="K26" i="1"/>
  <c r="N26" i="1" s="1"/>
  <c r="K27" i="1"/>
  <c r="K28" i="1"/>
  <c r="N28" i="1" s="1"/>
  <c r="K29" i="1"/>
  <c r="K30" i="1"/>
  <c r="K31" i="1"/>
  <c r="L31" i="1" s="1"/>
  <c r="K32" i="1"/>
  <c r="K33" i="1"/>
  <c r="N33" i="1" s="1"/>
  <c r="K34" i="1"/>
  <c r="N34" i="1" s="1"/>
  <c r="K35" i="1"/>
  <c r="K36" i="1"/>
  <c r="N36" i="1" s="1"/>
  <c r="K37" i="1"/>
  <c r="K38" i="1"/>
  <c r="K39" i="1"/>
  <c r="L39" i="1"/>
  <c r="K40" i="1"/>
  <c r="K41" i="1"/>
  <c r="N41" i="1" s="1"/>
  <c r="K42" i="1"/>
  <c r="N42" i="1"/>
  <c r="K43" i="1"/>
  <c r="K44" i="1"/>
  <c r="N44" i="1" s="1"/>
  <c r="K45" i="1"/>
  <c r="K46" i="1"/>
  <c r="K47" i="1"/>
  <c r="L47" i="1"/>
  <c r="K48" i="1"/>
  <c r="K49" i="1"/>
  <c r="N49" i="1" s="1"/>
  <c r="K50" i="1"/>
  <c r="N50" i="1" s="1"/>
  <c r="K51" i="1"/>
  <c r="K52" i="1"/>
  <c r="K53" i="1"/>
  <c r="K54" i="1"/>
  <c r="K55" i="1"/>
  <c r="L55" i="1" s="1"/>
  <c r="K56" i="1"/>
  <c r="K57" i="1"/>
  <c r="K58" i="1"/>
  <c r="N58" i="1" s="1"/>
  <c r="K59" i="1"/>
  <c r="K60" i="1"/>
  <c r="N60" i="1" s="1"/>
  <c r="K61" i="1"/>
  <c r="K62" i="1"/>
  <c r="K63" i="1"/>
  <c r="L63" i="1" s="1"/>
  <c r="K64" i="1"/>
  <c r="K65" i="1"/>
  <c r="N65" i="1" s="1"/>
  <c r="K66" i="1"/>
  <c r="N66" i="1" s="1"/>
  <c r="K67" i="1"/>
  <c r="K68" i="1"/>
  <c r="N68" i="1" s="1"/>
  <c r="K69" i="1"/>
  <c r="K70" i="1"/>
  <c r="K71" i="1"/>
  <c r="L71" i="1"/>
  <c r="K72" i="1"/>
  <c r="K73" i="1"/>
  <c r="N73" i="1" s="1"/>
  <c r="K74" i="1"/>
  <c r="N74" i="1"/>
  <c r="K75" i="1"/>
  <c r="K76" i="1"/>
  <c r="N76" i="1" s="1"/>
  <c r="K77" i="1"/>
  <c r="K78" i="1"/>
  <c r="K79" i="1"/>
  <c r="L79" i="1"/>
  <c r="K80" i="1"/>
  <c r="K81" i="1"/>
  <c r="N81" i="1" s="1"/>
  <c r="K82" i="1"/>
  <c r="N82" i="1" s="1"/>
  <c r="K83" i="1"/>
  <c r="K84" i="1"/>
  <c r="K85" i="1"/>
  <c r="L85" i="1" s="1"/>
  <c r="K86" i="1"/>
  <c r="K87" i="1"/>
  <c r="L87" i="1" s="1"/>
  <c r="K88" i="1"/>
  <c r="K89" i="1"/>
  <c r="N89" i="1" s="1"/>
  <c r="K90" i="1"/>
  <c r="N90" i="1" s="1"/>
  <c r="M90" i="1"/>
  <c r="K91" i="1"/>
  <c r="N91" i="1" s="1"/>
  <c r="K92" i="1"/>
  <c r="K93" i="1"/>
  <c r="K94" i="1"/>
  <c r="M94" i="1" s="1"/>
  <c r="K95" i="1"/>
  <c r="N95" i="1" s="1"/>
  <c r="K96" i="1"/>
  <c r="K97" i="1"/>
  <c r="N97" i="1" s="1"/>
  <c r="K98" i="1"/>
  <c r="N98" i="1" s="1"/>
  <c r="K99" i="1"/>
  <c r="N99" i="1" s="1"/>
  <c r="K100" i="1"/>
  <c r="K101" i="1"/>
  <c r="K102" i="1"/>
  <c r="M102" i="1"/>
  <c r="K103" i="1"/>
  <c r="N103" i="1" s="1"/>
  <c r="K104" i="1"/>
  <c r="K105" i="1"/>
  <c r="N105" i="1" s="1"/>
  <c r="M105" i="1"/>
  <c r="K106" i="1"/>
  <c r="N106" i="1" s="1"/>
  <c r="L106" i="1"/>
  <c r="M106" i="1"/>
  <c r="K107" i="1"/>
  <c r="N107" i="1" s="1"/>
  <c r="K108" i="1"/>
  <c r="K109" i="1"/>
  <c r="K110" i="1"/>
  <c r="M110" i="1"/>
  <c r="K111" i="1"/>
  <c r="N111" i="1" s="1"/>
  <c r="K112" i="1"/>
  <c r="K113" i="1"/>
  <c r="N113" i="1" s="1"/>
  <c r="M113" i="1"/>
  <c r="K114" i="1"/>
  <c r="N114" i="1" s="1"/>
  <c r="L114" i="1"/>
  <c r="K115" i="1"/>
  <c r="N115" i="1" s="1"/>
  <c r="K116" i="1"/>
  <c r="K117" i="1"/>
  <c r="K118" i="1"/>
  <c r="M118" i="1" s="1"/>
  <c r="K119" i="1"/>
  <c r="N119" i="1" s="1"/>
  <c r="K120" i="1"/>
  <c r="K121" i="1"/>
  <c r="N121" i="1" s="1"/>
  <c r="M121" i="1"/>
  <c r="K122" i="1"/>
  <c r="N122" i="1" s="1"/>
  <c r="L122" i="1"/>
  <c r="K123" i="1"/>
  <c r="N123" i="1" s="1"/>
  <c r="K124" i="1"/>
  <c r="K125" i="1"/>
  <c r="N125" i="1" s="1"/>
  <c r="K126" i="1"/>
  <c r="N126" i="1" s="1"/>
  <c r="L126" i="1"/>
  <c r="K127" i="1"/>
  <c r="N127" i="1" s="1"/>
  <c r="K128" i="1"/>
  <c r="L128" i="1" s="1"/>
  <c r="K129" i="1"/>
  <c r="L129" i="1" s="1"/>
  <c r="K130" i="1"/>
  <c r="N130" i="1" s="1"/>
  <c r="K131" i="1"/>
  <c r="K132" i="1"/>
  <c r="K133" i="1"/>
  <c r="K134" i="1"/>
  <c r="N134" i="1" s="1"/>
  <c r="M134" i="1"/>
  <c r="K135" i="1"/>
  <c r="K136" i="1"/>
  <c r="L136" i="1" s="1"/>
  <c r="K137" i="1"/>
  <c r="K138" i="1"/>
  <c r="L138" i="1" s="1"/>
  <c r="K139" i="1"/>
  <c r="K140" i="1"/>
  <c r="K141" i="1"/>
  <c r="M141" i="1" s="1"/>
  <c r="K142" i="1"/>
  <c r="K143" i="1"/>
  <c r="K144" i="1"/>
  <c r="L144" i="1" s="1"/>
  <c r="K145" i="1"/>
  <c r="M145" i="1" s="1"/>
  <c r="K146" i="1"/>
  <c r="K147" i="1"/>
  <c r="K148" i="1"/>
  <c r="K149" i="1"/>
  <c r="M149" i="1"/>
  <c r="K150" i="1"/>
  <c r="M150" i="1"/>
  <c r="K151" i="1"/>
  <c r="K152" i="1"/>
  <c r="L152" i="1" s="1"/>
  <c r="K153" i="1"/>
  <c r="N153" i="1" s="1"/>
  <c r="L153" i="1"/>
  <c r="K154" i="1"/>
  <c r="M154" i="1"/>
  <c r="K155" i="1"/>
  <c r="K156" i="1"/>
  <c r="K157" i="1"/>
  <c r="N157" i="1" s="1"/>
  <c r="L157" i="1"/>
  <c r="K158" i="1"/>
  <c r="K159" i="1"/>
  <c r="K160" i="1"/>
  <c r="L160" i="1" s="1"/>
  <c r="K161" i="1"/>
  <c r="K162" i="1"/>
  <c r="N162" i="1" s="1"/>
  <c r="M162" i="1"/>
  <c r="K163" i="1"/>
  <c r="K164" i="1"/>
  <c r="K165" i="1"/>
  <c r="L165" i="1"/>
  <c r="K166" i="1"/>
  <c r="N166" i="1" s="1"/>
  <c r="L166" i="1"/>
  <c r="K167" i="1"/>
  <c r="K168" i="1"/>
  <c r="L168" i="1" s="1"/>
  <c r="K169" i="1"/>
  <c r="M169" i="1" s="1"/>
  <c r="K170" i="1"/>
  <c r="L170" i="1" s="1"/>
  <c r="K171" i="1"/>
  <c r="K172" i="1"/>
  <c r="K173" i="1"/>
  <c r="M173" i="1" s="1"/>
  <c r="K174" i="1"/>
  <c r="L174" i="1" s="1"/>
  <c r="K175" i="1"/>
  <c r="K176" i="1"/>
  <c r="L176" i="1" s="1"/>
  <c r="K177" i="1"/>
  <c r="M177" i="1"/>
  <c r="K178" i="1"/>
  <c r="M178" i="1"/>
  <c r="K179" i="1"/>
  <c r="K180" i="1"/>
  <c r="K181" i="1"/>
  <c r="N181" i="1" s="1"/>
  <c r="L181" i="1"/>
  <c r="K182" i="1"/>
  <c r="M182" i="1" s="1"/>
  <c r="K183" i="1"/>
  <c r="K184" i="1"/>
  <c r="L184" i="1" s="1"/>
  <c r="K185" i="1"/>
  <c r="N185" i="1" s="1"/>
  <c r="K186" i="1"/>
  <c r="N186" i="1" s="1"/>
  <c r="K187" i="1"/>
  <c r="K188" i="1"/>
  <c r="L188" i="1" s="1"/>
  <c r="K189" i="1"/>
  <c r="K190" i="1"/>
  <c r="M190" i="1" s="1"/>
  <c r="K191" i="1"/>
  <c r="K192" i="1"/>
  <c r="L192" i="1" s="1"/>
  <c r="K193" i="1"/>
  <c r="L193" i="1" s="1"/>
  <c r="K194" i="1"/>
  <c r="K195" i="1"/>
  <c r="K196" i="1"/>
  <c r="K197" i="1"/>
  <c r="L197" i="1" s="1"/>
  <c r="K198" i="1"/>
  <c r="N198" i="1" s="1"/>
  <c r="K199" i="1"/>
  <c r="K200" i="1"/>
  <c r="L200" i="1" s="1"/>
  <c r="K201" i="1"/>
  <c r="M201" i="1" s="1"/>
  <c r="K202" i="1"/>
  <c r="K203" i="1"/>
  <c r="K204" i="1"/>
  <c r="K205" i="1"/>
  <c r="K206" i="1"/>
  <c r="L206" i="1" s="1"/>
  <c r="K207" i="1"/>
  <c r="K208" i="1"/>
  <c r="L208" i="1"/>
  <c r="K209" i="1"/>
  <c r="N209" i="1" s="1"/>
  <c r="L209" i="1"/>
  <c r="K210" i="1"/>
  <c r="M210" i="1" s="1"/>
  <c r="K211" i="1"/>
  <c r="K212" i="1"/>
  <c r="K213" i="1"/>
  <c r="N213" i="1" s="1"/>
  <c r="K214" i="1"/>
  <c r="M214" i="1" s="1"/>
  <c r="K215" i="1"/>
  <c r="K216" i="1"/>
  <c r="K217" i="1"/>
  <c r="K218" i="1"/>
  <c r="N218" i="1" s="1"/>
  <c r="K219" i="1"/>
  <c r="K220" i="1"/>
  <c r="K221" i="1"/>
  <c r="K222" i="1"/>
  <c r="K223" i="1"/>
  <c r="K224" i="1"/>
  <c r="K225" i="1"/>
  <c r="K226" i="1"/>
  <c r="N226" i="1" s="1"/>
  <c r="K227" i="1"/>
  <c r="K228" i="1"/>
  <c r="K229" i="1"/>
  <c r="K230" i="1"/>
  <c r="N230" i="1" s="1"/>
  <c r="K231" i="1"/>
  <c r="K232" i="1"/>
  <c r="K233" i="1"/>
  <c r="K234" i="1"/>
  <c r="M234" i="1" s="1"/>
  <c r="K235" i="1"/>
  <c r="L235" i="1" s="1"/>
  <c r="K236" i="1"/>
  <c r="L236" i="1" s="1"/>
  <c r="K237" i="1"/>
  <c r="K238" i="1"/>
  <c r="M238" i="1" s="1"/>
  <c r="K239" i="1"/>
  <c r="L239" i="1" s="1"/>
  <c r="K240" i="1"/>
  <c r="K241" i="1"/>
  <c r="K242" i="1"/>
  <c r="M242" i="1" s="1"/>
  <c r="K243" i="1"/>
  <c r="L243" i="1" s="1"/>
  <c r="K244" i="1"/>
  <c r="L244" i="1" s="1"/>
  <c r="K245" i="1"/>
  <c r="K246" i="1"/>
  <c r="K247" i="1"/>
  <c r="L247" i="1" s="1"/>
  <c r="K248" i="1"/>
  <c r="K249" i="1"/>
  <c r="K250" i="1"/>
  <c r="M250" i="1" s="1"/>
  <c r="K251" i="1"/>
  <c r="L251" i="1" s="1"/>
  <c r="K252" i="1"/>
  <c r="L252" i="1" s="1"/>
  <c r="K253" i="1"/>
  <c r="K254" i="1"/>
  <c r="M254" i="1" s="1"/>
  <c r="K255" i="1"/>
  <c r="L255" i="1" s="1"/>
  <c r="K256" i="1"/>
  <c r="K257" i="1"/>
  <c r="K258" i="1"/>
  <c r="M258" i="1" s="1"/>
  <c r="K259" i="1"/>
  <c r="L259" i="1" s="1"/>
  <c r="K260" i="1"/>
  <c r="L260" i="1" s="1"/>
  <c r="K261" i="1"/>
  <c r="K262" i="1"/>
  <c r="K263" i="1"/>
  <c r="L263" i="1" s="1"/>
  <c r="K264" i="1"/>
  <c r="K265" i="1"/>
  <c r="L265" i="1" s="1"/>
  <c r="K266" i="1"/>
  <c r="M266" i="1" s="1"/>
  <c r="K267" i="1"/>
  <c r="L267" i="1" s="1"/>
  <c r="K268" i="1"/>
  <c r="L268" i="1" s="1"/>
  <c r="K269" i="1"/>
  <c r="K270" i="1"/>
  <c r="M270" i="1" s="1"/>
  <c r="K271" i="1"/>
  <c r="L271" i="1" s="1"/>
  <c r="K272" i="1"/>
  <c r="K273" i="1"/>
  <c r="L273" i="1" s="1"/>
  <c r="N273" i="1"/>
  <c r="K274" i="1"/>
  <c r="M274" i="1" s="1"/>
  <c r="K275" i="1"/>
  <c r="L275" i="1" s="1"/>
  <c r="K276" i="1"/>
  <c r="L276" i="1" s="1"/>
  <c r="K277" i="1"/>
  <c r="K278" i="1"/>
  <c r="K279" i="1"/>
  <c r="L279" i="1" s="1"/>
  <c r="K280" i="1"/>
  <c r="K281" i="1"/>
  <c r="L281" i="1" s="1"/>
  <c r="N281" i="1"/>
  <c r="K282" i="1"/>
  <c r="M282" i="1" s="1"/>
  <c r="K283" i="1"/>
  <c r="L283" i="1" s="1"/>
  <c r="K284" i="1"/>
  <c r="L284" i="1" s="1"/>
  <c r="K285" i="1"/>
  <c r="K286" i="1"/>
  <c r="M286" i="1" s="1"/>
  <c r="K287" i="1"/>
  <c r="L287" i="1" s="1"/>
  <c r="K288" i="1"/>
  <c r="K289" i="1"/>
  <c r="L289" i="1" s="1"/>
  <c r="K290" i="1"/>
  <c r="M290" i="1" s="1"/>
  <c r="K291" i="1"/>
  <c r="L291" i="1" s="1"/>
  <c r="K292" i="1"/>
  <c r="L292" i="1" s="1"/>
  <c r="K293" i="1"/>
  <c r="K294" i="1"/>
  <c r="K295" i="1"/>
  <c r="L295" i="1" s="1"/>
  <c r="K296" i="1"/>
  <c r="K297" i="1"/>
  <c r="L297" i="1" s="1"/>
  <c r="K298" i="1"/>
  <c r="M298" i="1" s="1"/>
  <c r="K299" i="1"/>
  <c r="L299" i="1" s="1"/>
  <c r="K300" i="1"/>
  <c r="L300" i="1" s="1"/>
  <c r="K301" i="1"/>
  <c r="K302" i="1"/>
  <c r="M302" i="1" s="1"/>
  <c r="K303" i="1"/>
  <c r="L303" i="1" s="1"/>
  <c r="K304" i="1"/>
  <c r="K305" i="1"/>
  <c r="L305" i="1" s="1"/>
  <c r="K306" i="1"/>
  <c r="M306" i="1" s="1"/>
  <c r="K307" i="1"/>
  <c r="L307" i="1" s="1"/>
  <c r="K308" i="1"/>
  <c r="L308" i="1" s="1"/>
  <c r="K309" i="1"/>
  <c r="K310" i="1"/>
  <c r="K311" i="1"/>
  <c r="L311" i="1" s="1"/>
  <c r="K312" i="1"/>
  <c r="K313" i="1"/>
  <c r="L313" i="1" s="1"/>
  <c r="K314" i="1"/>
  <c r="M314" i="1" s="1"/>
  <c r="K315" i="1"/>
  <c r="L315" i="1" s="1"/>
  <c r="K316" i="1"/>
  <c r="L316" i="1" s="1"/>
  <c r="K317" i="1"/>
  <c r="K318" i="1"/>
  <c r="M318" i="1" s="1"/>
  <c r="K319" i="1"/>
  <c r="L319" i="1" s="1"/>
  <c r="K320" i="1"/>
  <c r="K321" i="1"/>
  <c r="L321" i="1" s="1"/>
  <c r="K322" i="1"/>
  <c r="M322" i="1" s="1"/>
  <c r="K323" i="1"/>
  <c r="L323" i="1" s="1"/>
  <c r="K324" i="1"/>
  <c r="L324" i="1" s="1"/>
  <c r="K325" i="1"/>
  <c r="K326" i="1"/>
  <c r="K327" i="1"/>
  <c r="L327" i="1" s="1"/>
  <c r="K328" i="1"/>
  <c r="K329" i="1"/>
  <c r="L329" i="1" s="1"/>
  <c r="K330" i="1"/>
  <c r="M330" i="1" s="1"/>
  <c r="K331" i="1"/>
  <c r="L331" i="1" s="1"/>
  <c r="K332" i="1"/>
  <c r="L332" i="1" s="1"/>
  <c r="K333" i="1"/>
  <c r="K334" i="1"/>
  <c r="M334" i="1" s="1"/>
  <c r="K335" i="1"/>
  <c r="L335" i="1" s="1"/>
  <c r="K336" i="1"/>
  <c r="K337" i="1"/>
  <c r="L337" i="1" s="1"/>
  <c r="N337" i="1"/>
  <c r="K338" i="1"/>
  <c r="M338" i="1" s="1"/>
  <c r="K339" i="1"/>
  <c r="L339" i="1" s="1"/>
  <c r="K340" i="1"/>
  <c r="L340" i="1" s="1"/>
  <c r="K341" i="1"/>
  <c r="K342" i="1"/>
  <c r="K343" i="1"/>
  <c r="L343" i="1" s="1"/>
  <c r="K344" i="1"/>
  <c r="K345" i="1"/>
  <c r="L345" i="1" s="1"/>
  <c r="N345" i="1"/>
  <c r="K346" i="1"/>
  <c r="M346" i="1" s="1"/>
  <c r="K347" i="1"/>
  <c r="L347" i="1" s="1"/>
  <c r="K348" i="1"/>
  <c r="L348" i="1" s="1"/>
  <c r="K349" i="1"/>
  <c r="K350" i="1"/>
  <c r="M350" i="1" s="1"/>
  <c r="K351" i="1"/>
  <c r="L351" i="1" s="1"/>
  <c r="K352" i="1"/>
  <c r="K353" i="1"/>
  <c r="L353" i="1" s="1"/>
  <c r="K354" i="1"/>
  <c r="M354" i="1" s="1"/>
  <c r="K355" i="1"/>
  <c r="L355" i="1" s="1"/>
  <c r="K356" i="1"/>
  <c r="L356" i="1" s="1"/>
  <c r="K357" i="1"/>
  <c r="K358" i="1"/>
  <c r="K359" i="1"/>
  <c r="L359" i="1" s="1"/>
  <c r="K360" i="1"/>
  <c r="K361" i="1"/>
  <c r="L361" i="1" s="1"/>
  <c r="K362" i="1"/>
  <c r="M362" i="1" s="1"/>
  <c r="K363" i="1"/>
  <c r="L363" i="1" s="1"/>
  <c r="K364" i="1"/>
  <c r="L364" i="1" s="1"/>
  <c r="K365" i="1"/>
  <c r="K366" i="1"/>
  <c r="M366" i="1" s="1"/>
  <c r="K367" i="1"/>
  <c r="L367" i="1" s="1"/>
  <c r="K368" i="1"/>
  <c r="K369" i="1"/>
  <c r="L369" i="1" s="1"/>
  <c r="K370" i="1"/>
  <c r="N370" i="1" s="1"/>
  <c r="K371" i="1"/>
  <c r="L371" i="1" s="1"/>
  <c r="K372" i="1"/>
  <c r="K373" i="1"/>
  <c r="K374" i="1"/>
  <c r="L374" i="1" s="1"/>
  <c r="N374" i="1"/>
  <c r="K375" i="1"/>
  <c r="L375" i="1" s="1"/>
  <c r="K376" i="1"/>
  <c r="L376" i="1" s="1"/>
  <c r="K377" i="1"/>
  <c r="M377" i="1" s="1"/>
  <c r="K378" i="1"/>
  <c r="L378" i="1" s="1"/>
  <c r="K379" i="1"/>
  <c r="L379" i="1" s="1"/>
  <c r="K380" i="1"/>
  <c r="L380" i="1" s="1"/>
  <c r="M380" i="1"/>
  <c r="K381" i="1"/>
  <c r="M381" i="1" s="1"/>
  <c r="K382" i="1"/>
  <c r="L382" i="1" s="1"/>
  <c r="K383" i="1"/>
  <c r="L383" i="1" s="1"/>
  <c r="K384" i="1"/>
  <c r="L384" i="1" s="1"/>
  <c r="K385" i="1"/>
  <c r="L385" i="1" s="1"/>
  <c r="K386" i="1"/>
  <c r="K387" i="1"/>
  <c r="L387" i="1" s="1"/>
  <c r="K388" i="1"/>
  <c r="L388" i="1" s="1"/>
  <c r="K389" i="1"/>
  <c r="L389" i="1" s="1"/>
  <c r="M389" i="1"/>
  <c r="K390" i="1"/>
  <c r="L390" i="1" s="1"/>
  <c r="K391" i="1"/>
  <c r="L391" i="1" s="1"/>
  <c r="K392" i="1"/>
  <c r="L392" i="1" s="1"/>
  <c r="K393" i="1"/>
  <c r="L393" i="1" s="1"/>
  <c r="N393" i="1"/>
  <c r="K394" i="1"/>
  <c r="K395" i="1"/>
  <c r="L395" i="1" s="1"/>
  <c r="K396" i="1"/>
  <c r="L396" i="1" s="1"/>
  <c r="M396" i="1"/>
  <c r="K397" i="1"/>
  <c r="L397" i="1" s="1"/>
  <c r="K398" i="1"/>
  <c r="L398" i="1" s="1"/>
  <c r="N398" i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M405" i="1"/>
  <c r="K406" i="1"/>
  <c r="L406" i="1" s="1"/>
  <c r="K407" i="1"/>
  <c r="L407" i="1" s="1"/>
  <c r="K408" i="1"/>
  <c r="L408" i="1" s="1"/>
  <c r="K409" i="1"/>
  <c r="L409" i="1" s="1"/>
  <c r="N409" i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M418" i="1"/>
  <c r="N418" i="1"/>
  <c r="K419" i="1"/>
  <c r="L419" i="1" s="1"/>
  <c r="K420" i="1"/>
  <c r="L420" i="1" s="1"/>
  <c r="M420" i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M426" i="1"/>
  <c r="N2" i="1"/>
  <c r="K2" i="1"/>
  <c r="L2" i="1" s="1"/>
  <c r="M413" i="1" l="1"/>
  <c r="M388" i="1"/>
  <c r="M369" i="1"/>
  <c r="N305" i="1"/>
  <c r="L213" i="1"/>
  <c r="M185" i="1"/>
  <c r="L130" i="1"/>
  <c r="M122" i="1"/>
  <c r="M97" i="1"/>
  <c r="M89" i="1"/>
  <c r="L186" i="1"/>
  <c r="L98" i="1"/>
  <c r="L90" i="1"/>
  <c r="N413" i="1"/>
  <c r="N382" i="1"/>
  <c r="N369" i="1"/>
  <c r="N313" i="1"/>
  <c r="M213" i="1"/>
  <c r="L394" i="1"/>
  <c r="M394" i="1"/>
  <c r="L349" i="1"/>
  <c r="N349" i="1"/>
  <c r="L317" i="1"/>
  <c r="N317" i="1"/>
  <c r="L285" i="1"/>
  <c r="N285" i="1"/>
  <c r="L264" i="1"/>
  <c r="M264" i="1"/>
  <c r="L248" i="1"/>
  <c r="M248" i="1"/>
  <c r="L240" i="1"/>
  <c r="M240" i="1"/>
  <c r="N189" i="1"/>
  <c r="M189" i="1"/>
  <c r="N158" i="1"/>
  <c r="L158" i="1"/>
  <c r="M69" i="1"/>
  <c r="L69" i="1"/>
  <c r="M45" i="1"/>
  <c r="L45" i="1"/>
  <c r="M5" i="1"/>
  <c r="L5" i="1"/>
  <c r="L341" i="1"/>
  <c r="N341" i="1"/>
  <c r="L309" i="1"/>
  <c r="N309" i="1"/>
  <c r="L288" i="1"/>
  <c r="M288" i="1"/>
  <c r="N177" i="1"/>
  <c r="L177" i="1"/>
  <c r="N94" i="1"/>
  <c r="L94" i="1"/>
  <c r="M61" i="1"/>
  <c r="L61" i="1"/>
  <c r="M21" i="1"/>
  <c r="L21" i="1"/>
  <c r="N425" i="1"/>
  <c r="N414" i="1"/>
  <c r="M410" i="1"/>
  <c r="N402" i="1"/>
  <c r="N397" i="1"/>
  <c r="M376" i="1"/>
  <c r="M374" i="1"/>
  <c r="L365" i="1"/>
  <c r="N365" i="1"/>
  <c r="N361" i="1"/>
  <c r="L344" i="1"/>
  <c r="M344" i="1"/>
  <c r="L333" i="1"/>
  <c r="N333" i="1"/>
  <c r="N329" i="1"/>
  <c r="L312" i="1"/>
  <c r="M312" i="1"/>
  <c r="L301" i="1"/>
  <c r="N301" i="1"/>
  <c r="N297" i="1"/>
  <c r="L280" i="1"/>
  <c r="M280" i="1"/>
  <c r="L269" i="1"/>
  <c r="N269" i="1"/>
  <c r="N265" i="1"/>
  <c r="N194" i="1"/>
  <c r="L194" i="1"/>
  <c r="N154" i="1"/>
  <c r="L154" i="1"/>
  <c r="N149" i="1"/>
  <c r="L149" i="1"/>
  <c r="N110" i="1"/>
  <c r="L110" i="1"/>
  <c r="N102" i="1"/>
  <c r="L102" i="1"/>
  <c r="N93" i="1"/>
  <c r="M93" i="1"/>
  <c r="M77" i="1"/>
  <c r="L77" i="1"/>
  <c r="M37" i="1"/>
  <c r="L37" i="1"/>
  <c r="M13" i="1"/>
  <c r="L13" i="1"/>
  <c r="L386" i="1"/>
  <c r="N386" i="1"/>
  <c r="L373" i="1"/>
  <c r="N373" i="1"/>
  <c r="L360" i="1"/>
  <c r="M360" i="1"/>
  <c r="L328" i="1"/>
  <c r="M328" i="1"/>
  <c r="L296" i="1"/>
  <c r="M296" i="1"/>
  <c r="L256" i="1"/>
  <c r="M256" i="1"/>
  <c r="N117" i="1"/>
  <c r="M117" i="1"/>
  <c r="L352" i="1"/>
  <c r="M352" i="1"/>
  <c r="L320" i="1"/>
  <c r="M320" i="1"/>
  <c r="L277" i="1"/>
  <c r="N277" i="1"/>
  <c r="M421" i="1"/>
  <c r="M412" i="1"/>
  <c r="M404" i="1"/>
  <c r="M402" i="1"/>
  <c r="M397" i="1"/>
  <c r="M386" i="1"/>
  <c r="L381" i="1"/>
  <c r="N381" i="1"/>
  <c r="M378" i="1"/>
  <c r="L368" i="1"/>
  <c r="M368" i="1"/>
  <c r="L357" i="1"/>
  <c r="N357" i="1"/>
  <c r="N353" i="1"/>
  <c r="L336" i="1"/>
  <c r="M336" i="1"/>
  <c r="L325" i="1"/>
  <c r="N325" i="1"/>
  <c r="N321" i="1"/>
  <c r="L304" i="1"/>
  <c r="M304" i="1"/>
  <c r="L293" i="1"/>
  <c r="N293" i="1"/>
  <c r="N289" i="1"/>
  <c r="L272" i="1"/>
  <c r="M272" i="1"/>
  <c r="L261" i="1"/>
  <c r="N261" i="1"/>
  <c r="L257" i="1"/>
  <c r="N257" i="1"/>
  <c r="L253" i="1"/>
  <c r="N253" i="1"/>
  <c r="L249" i="1"/>
  <c r="N249" i="1"/>
  <c r="L245" i="1"/>
  <c r="N245" i="1"/>
  <c r="L241" i="1"/>
  <c r="N241" i="1"/>
  <c r="L237" i="1"/>
  <c r="N237" i="1"/>
  <c r="L233" i="1"/>
  <c r="N233" i="1"/>
  <c r="N190" i="1"/>
  <c r="L190" i="1"/>
  <c r="M158" i="1"/>
  <c r="N145" i="1"/>
  <c r="L145" i="1"/>
  <c r="N118" i="1"/>
  <c r="L118" i="1"/>
  <c r="N109" i="1"/>
  <c r="M109" i="1"/>
  <c r="N101" i="1"/>
  <c r="M101" i="1"/>
  <c r="M53" i="1"/>
  <c r="L53" i="1"/>
  <c r="M29" i="1"/>
  <c r="L29" i="1"/>
  <c r="M209" i="1"/>
  <c r="M186" i="1"/>
  <c r="M181" i="1"/>
  <c r="M157" i="1"/>
  <c r="M153" i="1"/>
  <c r="M130" i="1"/>
  <c r="M126" i="1"/>
  <c r="M114" i="1"/>
  <c r="M98" i="1"/>
  <c r="L358" i="1"/>
  <c r="N358" i="1"/>
  <c r="L342" i="1"/>
  <c r="N342" i="1"/>
  <c r="L326" i="1"/>
  <c r="N326" i="1"/>
  <c r="L310" i="1"/>
  <c r="N310" i="1"/>
  <c r="L294" i="1"/>
  <c r="N294" i="1"/>
  <c r="L278" i="1"/>
  <c r="N278" i="1"/>
  <c r="L262" i="1"/>
  <c r="N262" i="1"/>
  <c r="L246" i="1"/>
  <c r="N246" i="1"/>
  <c r="N205" i="1"/>
  <c r="L205" i="1"/>
  <c r="N202" i="1"/>
  <c r="M202" i="1"/>
  <c r="N161" i="1"/>
  <c r="M161" i="1"/>
  <c r="N146" i="1"/>
  <c r="L146" i="1"/>
  <c r="N142" i="1"/>
  <c r="M142" i="1"/>
  <c r="N137" i="1"/>
  <c r="L137" i="1"/>
  <c r="N133" i="1"/>
  <c r="M133" i="1"/>
  <c r="M84" i="1"/>
  <c r="L84" i="1"/>
  <c r="M57" i="1"/>
  <c r="L57" i="1"/>
  <c r="M52" i="1"/>
  <c r="L52" i="1"/>
  <c r="M25" i="1"/>
  <c r="L25" i="1"/>
  <c r="M20" i="1"/>
  <c r="L20" i="1"/>
  <c r="N426" i="1"/>
  <c r="M425" i="1"/>
  <c r="N421" i="1"/>
  <c r="M416" i="1"/>
  <c r="M414" i="1"/>
  <c r="N410" i="1"/>
  <c r="M409" i="1"/>
  <c r="N405" i="1"/>
  <c r="M400" i="1"/>
  <c r="M398" i="1"/>
  <c r="N394" i="1"/>
  <c r="M393" i="1"/>
  <c r="N389" i="1"/>
  <c r="M384" i="1"/>
  <c r="M382" i="1"/>
  <c r="N378" i="1"/>
  <c r="L377" i="1"/>
  <c r="N377" i="1"/>
  <c r="M373" i="1"/>
  <c r="M364" i="1"/>
  <c r="L362" i="1"/>
  <c r="N362" i="1"/>
  <c r="M348" i="1"/>
  <c r="L346" i="1"/>
  <c r="N346" i="1"/>
  <c r="M332" i="1"/>
  <c r="L330" i="1"/>
  <c r="N330" i="1"/>
  <c r="M316" i="1"/>
  <c r="L314" i="1"/>
  <c r="N314" i="1"/>
  <c r="M300" i="1"/>
  <c r="L298" i="1"/>
  <c r="N298" i="1"/>
  <c r="M284" i="1"/>
  <c r="L282" i="1"/>
  <c r="N282" i="1"/>
  <c r="M268" i="1"/>
  <c r="L266" i="1"/>
  <c r="N266" i="1"/>
  <c r="M252" i="1"/>
  <c r="L250" i="1"/>
  <c r="N250" i="1"/>
  <c r="M236" i="1"/>
  <c r="L234" i="1"/>
  <c r="N234" i="1"/>
  <c r="M194" i="1"/>
  <c r="N193" i="1"/>
  <c r="M193" i="1"/>
  <c r="L189" i="1"/>
  <c r="L185" i="1"/>
  <c r="N178" i="1"/>
  <c r="L178" i="1"/>
  <c r="N174" i="1"/>
  <c r="M174" i="1"/>
  <c r="N169" i="1"/>
  <c r="L169" i="1"/>
  <c r="M166" i="1"/>
  <c r="N165" i="1"/>
  <c r="M165" i="1"/>
  <c r="L162" i="1"/>
  <c r="N150" i="1"/>
  <c r="L150" i="1"/>
  <c r="L134" i="1"/>
  <c r="M81" i="1"/>
  <c r="L81" i="1"/>
  <c r="M76" i="1"/>
  <c r="L76" i="1"/>
  <c r="M49" i="1"/>
  <c r="L49" i="1"/>
  <c r="M44" i="1"/>
  <c r="L44" i="1"/>
  <c r="M17" i="1"/>
  <c r="L17" i="1"/>
  <c r="M12" i="1"/>
  <c r="L12" i="1"/>
  <c r="N422" i="1"/>
  <c r="N417" i="1"/>
  <c r="N406" i="1"/>
  <c r="N401" i="1"/>
  <c r="N390" i="1"/>
  <c r="N385" i="1"/>
  <c r="L370" i="1"/>
  <c r="M370" i="1"/>
  <c r="L366" i="1"/>
  <c r="N366" i="1"/>
  <c r="L350" i="1"/>
  <c r="N350" i="1"/>
  <c r="L334" i="1"/>
  <c r="N334" i="1"/>
  <c r="L318" i="1"/>
  <c r="N318" i="1"/>
  <c r="L302" i="1"/>
  <c r="N302" i="1"/>
  <c r="L286" i="1"/>
  <c r="N286" i="1"/>
  <c r="L270" i="1"/>
  <c r="N270" i="1"/>
  <c r="L254" i="1"/>
  <c r="N254" i="1"/>
  <c r="L238" i="1"/>
  <c r="N238" i="1"/>
  <c r="N210" i="1"/>
  <c r="L210" i="1"/>
  <c r="N206" i="1"/>
  <c r="M206" i="1"/>
  <c r="N201" i="1"/>
  <c r="L201" i="1"/>
  <c r="M198" i="1"/>
  <c r="N197" i="1"/>
  <c r="M197" i="1"/>
  <c r="N182" i="1"/>
  <c r="L182" i="1"/>
  <c r="N141" i="1"/>
  <c r="L141" i="1"/>
  <c r="N138" i="1"/>
  <c r="M138" i="1"/>
  <c r="M125" i="1"/>
  <c r="M85" i="1"/>
  <c r="N85" i="1"/>
  <c r="M73" i="1"/>
  <c r="L73" i="1"/>
  <c r="M68" i="1"/>
  <c r="L68" i="1"/>
  <c r="M41" i="1"/>
  <c r="L41" i="1"/>
  <c r="M36" i="1"/>
  <c r="L36" i="1"/>
  <c r="M9" i="1"/>
  <c r="L9" i="1"/>
  <c r="M4" i="1"/>
  <c r="L4" i="1"/>
  <c r="M2" i="1"/>
  <c r="M424" i="1"/>
  <c r="M422" i="1"/>
  <c r="M417" i="1"/>
  <c r="M408" i="1"/>
  <c r="M406" i="1"/>
  <c r="M401" i="1"/>
  <c r="M392" i="1"/>
  <c r="M390" i="1"/>
  <c r="M385" i="1"/>
  <c r="L372" i="1"/>
  <c r="M372" i="1"/>
  <c r="M358" i="1"/>
  <c r="M356" i="1"/>
  <c r="L354" i="1"/>
  <c r="N354" i="1"/>
  <c r="M342" i="1"/>
  <c r="M340" i="1"/>
  <c r="L338" i="1"/>
  <c r="N338" i="1"/>
  <c r="M326" i="1"/>
  <c r="M324" i="1"/>
  <c r="L322" i="1"/>
  <c r="N322" i="1"/>
  <c r="M310" i="1"/>
  <c r="M308" i="1"/>
  <c r="L306" i="1"/>
  <c r="N306" i="1"/>
  <c r="M294" i="1"/>
  <c r="M292" i="1"/>
  <c r="L290" i="1"/>
  <c r="N290" i="1"/>
  <c r="M278" i="1"/>
  <c r="M276" i="1"/>
  <c r="L274" i="1"/>
  <c r="N274" i="1"/>
  <c r="M262" i="1"/>
  <c r="M260" i="1"/>
  <c r="L258" i="1"/>
  <c r="N258" i="1"/>
  <c r="M246" i="1"/>
  <c r="M244" i="1"/>
  <c r="L242" i="1"/>
  <c r="N242" i="1"/>
  <c r="N214" i="1"/>
  <c r="L214" i="1"/>
  <c r="M205" i="1"/>
  <c r="L202" i="1"/>
  <c r="L198" i="1"/>
  <c r="N173" i="1"/>
  <c r="L173" i="1"/>
  <c r="N170" i="1"/>
  <c r="M170" i="1"/>
  <c r="L161" i="1"/>
  <c r="M146" i="1"/>
  <c r="L142" i="1"/>
  <c r="M137" i="1"/>
  <c r="L133" i="1"/>
  <c r="N129" i="1"/>
  <c r="M129" i="1"/>
  <c r="L125" i="1"/>
  <c r="L121" i="1"/>
  <c r="L117" i="1"/>
  <c r="L113" i="1"/>
  <c r="L109" i="1"/>
  <c r="L105" i="1"/>
  <c r="L101" i="1"/>
  <c r="L97" i="1"/>
  <c r="L93" i="1"/>
  <c r="L89" i="1"/>
  <c r="N84" i="1"/>
  <c r="M65" i="1"/>
  <c r="L65" i="1"/>
  <c r="M60" i="1"/>
  <c r="L60" i="1"/>
  <c r="N57" i="1"/>
  <c r="N52" i="1"/>
  <c r="M33" i="1"/>
  <c r="L33" i="1"/>
  <c r="M28" i="1"/>
  <c r="L28" i="1"/>
  <c r="N25" i="1"/>
  <c r="N20" i="1"/>
  <c r="N77" i="1"/>
  <c r="N69" i="1"/>
  <c r="N61" i="1"/>
  <c r="N53" i="1"/>
  <c r="N45" i="1"/>
  <c r="N37" i="1"/>
  <c r="N29" i="1"/>
  <c r="N21" i="1"/>
  <c r="N13" i="1"/>
  <c r="N5" i="1"/>
  <c r="L232" i="1"/>
  <c r="M232" i="1"/>
  <c r="L224" i="1"/>
  <c r="M224" i="1"/>
  <c r="L216" i="1"/>
  <c r="M216" i="1"/>
  <c r="N207" i="1"/>
  <c r="L207" i="1"/>
  <c r="M207" i="1"/>
  <c r="N204" i="1"/>
  <c r="M204" i="1"/>
  <c r="N172" i="1"/>
  <c r="M172" i="1"/>
  <c r="N140" i="1"/>
  <c r="M140" i="1"/>
  <c r="N415" i="1"/>
  <c r="N411" i="1"/>
  <c r="N403" i="1"/>
  <c r="N391" i="1"/>
  <c r="N387" i="1"/>
  <c r="N379" i="1"/>
  <c r="N367" i="1"/>
  <c r="N355" i="1"/>
  <c r="N343" i="1"/>
  <c r="N335" i="1"/>
  <c r="N323" i="1"/>
  <c r="N319" i="1"/>
  <c r="N311" i="1"/>
  <c r="N307" i="1"/>
  <c r="N299" i="1"/>
  <c r="N287" i="1"/>
  <c r="N279" i="1"/>
  <c r="N267" i="1"/>
  <c r="N255" i="1"/>
  <c r="N247" i="1"/>
  <c r="N235" i="1"/>
  <c r="L231" i="1"/>
  <c r="M231" i="1"/>
  <c r="L227" i="1"/>
  <c r="M227" i="1"/>
  <c r="L221" i="1"/>
  <c r="M221" i="1"/>
  <c r="L215" i="1"/>
  <c r="M215" i="1"/>
  <c r="N199" i="1"/>
  <c r="L199" i="1"/>
  <c r="M199" i="1"/>
  <c r="N196" i="1"/>
  <c r="M196" i="1"/>
  <c r="N183" i="1"/>
  <c r="L183" i="1"/>
  <c r="M183" i="1"/>
  <c r="N180" i="1"/>
  <c r="M180" i="1"/>
  <c r="N167" i="1"/>
  <c r="L167" i="1"/>
  <c r="M167" i="1"/>
  <c r="N164" i="1"/>
  <c r="M164" i="1"/>
  <c r="N151" i="1"/>
  <c r="L151" i="1"/>
  <c r="M151" i="1"/>
  <c r="N148" i="1"/>
  <c r="M148" i="1"/>
  <c r="N135" i="1"/>
  <c r="L135" i="1"/>
  <c r="M135" i="1"/>
  <c r="N132" i="1"/>
  <c r="M132" i="1"/>
  <c r="M86" i="1"/>
  <c r="L86" i="1"/>
  <c r="N86" i="1"/>
  <c r="M78" i="1"/>
  <c r="L78" i="1"/>
  <c r="N78" i="1"/>
  <c r="M70" i="1"/>
  <c r="L70" i="1"/>
  <c r="N70" i="1"/>
  <c r="M62" i="1"/>
  <c r="L62" i="1"/>
  <c r="N62" i="1"/>
  <c r="M54" i="1"/>
  <c r="L54" i="1"/>
  <c r="N54" i="1"/>
  <c r="M46" i="1"/>
  <c r="L46" i="1"/>
  <c r="N46" i="1"/>
  <c r="M38" i="1"/>
  <c r="L38" i="1"/>
  <c r="N38" i="1"/>
  <c r="M30" i="1"/>
  <c r="L30" i="1"/>
  <c r="N30" i="1"/>
  <c r="M22" i="1"/>
  <c r="L22" i="1"/>
  <c r="N22" i="1"/>
  <c r="M14" i="1"/>
  <c r="L14" i="1"/>
  <c r="N14" i="1"/>
  <c r="M6" i="1"/>
  <c r="L6" i="1"/>
  <c r="N6" i="1"/>
  <c r="L228" i="1"/>
  <c r="M228" i="1"/>
  <c r="L222" i="1"/>
  <c r="M222" i="1"/>
  <c r="L220" i="1"/>
  <c r="M220" i="1"/>
  <c r="N175" i="1"/>
  <c r="L175" i="1"/>
  <c r="M175" i="1"/>
  <c r="N159" i="1"/>
  <c r="L159" i="1"/>
  <c r="M159" i="1"/>
  <c r="N156" i="1"/>
  <c r="M156" i="1"/>
  <c r="N423" i="1"/>
  <c r="N419" i="1"/>
  <c r="N407" i="1"/>
  <c r="N399" i="1"/>
  <c r="N395" i="1"/>
  <c r="N383" i="1"/>
  <c r="N375" i="1"/>
  <c r="N371" i="1"/>
  <c r="N363" i="1"/>
  <c r="N359" i="1"/>
  <c r="N351" i="1"/>
  <c r="N347" i="1"/>
  <c r="N339" i="1"/>
  <c r="N331" i="1"/>
  <c r="N327" i="1"/>
  <c r="N315" i="1"/>
  <c r="N303" i="1"/>
  <c r="N295" i="1"/>
  <c r="N291" i="1"/>
  <c r="N283" i="1"/>
  <c r="N275" i="1"/>
  <c r="N271" i="1"/>
  <c r="N263" i="1"/>
  <c r="N259" i="1"/>
  <c r="N251" i="1"/>
  <c r="N243" i="1"/>
  <c r="N239" i="1"/>
  <c r="L229" i="1"/>
  <c r="M229" i="1"/>
  <c r="L225" i="1"/>
  <c r="M225" i="1"/>
  <c r="L223" i="1"/>
  <c r="M223" i="1"/>
  <c r="L219" i="1"/>
  <c r="M219" i="1"/>
  <c r="L217" i="1"/>
  <c r="M217" i="1"/>
  <c r="N212" i="1"/>
  <c r="M212" i="1"/>
  <c r="N424" i="1"/>
  <c r="M423" i="1"/>
  <c r="N420" i="1"/>
  <c r="M419" i="1"/>
  <c r="N416" i="1"/>
  <c r="M415" i="1"/>
  <c r="N412" i="1"/>
  <c r="M411" i="1"/>
  <c r="N408" i="1"/>
  <c r="M407" i="1"/>
  <c r="N404" i="1"/>
  <c r="M403" i="1"/>
  <c r="N400" i="1"/>
  <c r="M399" i="1"/>
  <c r="N396" i="1"/>
  <c r="M395" i="1"/>
  <c r="N392" i="1"/>
  <c r="M391" i="1"/>
  <c r="N388" i="1"/>
  <c r="M387" i="1"/>
  <c r="N384" i="1"/>
  <c r="M383" i="1"/>
  <c r="N380" i="1"/>
  <c r="M379" i="1"/>
  <c r="N376" i="1"/>
  <c r="M375" i="1"/>
  <c r="N372" i="1"/>
  <c r="M371" i="1"/>
  <c r="N368" i="1"/>
  <c r="M367" i="1"/>
  <c r="N364" i="1"/>
  <c r="M363" i="1"/>
  <c r="N360" i="1"/>
  <c r="M359" i="1"/>
  <c r="N356" i="1"/>
  <c r="M355" i="1"/>
  <c r="N352" i="1"/>
  <c r="M351" i="1"/>
  <c r="N348" i="1"/>
  <c r="M347" i="1"/>
  <c r="N344" i="1"/>
  <c r="M343" i="1"/>
  <c r="N340" i="1"/>
  <c r="M339" i="1"/>
  <c r="N336" i="1"/>
  <c r="M335" i="1"/>
  <c r="N332" i="1"/>
  <c r="M331" i="1"/>
  <c r="N328" i="1"/>
  <c r="M327" i="1"/>
  <c r="N324" i="1"/>
  <c r="M323" i="1"/>
  <c r="N320" i="1"/>
  <c r="M319" i="1"/>
  <c r="N316" i="1"/>
  <c r="M315" i="1"/>
  <c r="N312" i="1"/>
  <c r="M311" i="1"/>
  <c r="N308" i="1"/>
  <c r="M307" i="1"/>
  <c r="N304" i="1"/>
  <c r="M303" i="1"/>
  <c r="N300" i="1"/>
  <c r="M299" i="1"/>
  <c r="N296" i="1"/>
  <c r="M295" i="1"/>
  <c r="N292" i="1"/>
  <c r="M291" i="1"/>
  <c r="N288" i="1"/>
  <c r="M287" i="1"/>
  <c r="N284" i="1"/>
  <c r="M283" i="1"/>
  <c r="N280" i="1"/>
  <c r="M279" i="1"/>
  <c r="N276" i="1"/>
  <c r="M275" i="1"/>
  <c r="N272" i="1"/>
  <c r="M271" i="1"/>
  <c r="N268" i="1"/>
  <c r="M267" i="1"/>
  <c r="N264" i="1"/>
  <c r="M263" i="1"/>
  <c r="N260" i="1"/>
  <c r="M259" i="1"/>
  <c r="N256" i="1"/>
  <c r="M255" i="1"/>
  <c r="N252" i="1"/>
  <c r="M251" i="1"/>
  <c r="N248" i="1"/>
  <c r="M247" i="1"/>
  <c r="N244" i="1"/>
  <c r="M243" i="1"/>
  <c r="N240" i="1"/>
  <c r="M239" i="1"/>
  <c r="N236" i="1"/>
  <c r="M235" i="1"/>
  <c r="N232" i="1"/>
  <c r="N228" i="1"/>
  <c r="N224" i="1"/>
  <c r="N222" i="1"/>
  <c r="N220" i="1"/>
  <c r="N216" i="1"/>
  <c r="N211" i="1"/>
  <c r="L211" i="1"/>
  <c r="M211" i="1"/>
  <c r="N208" i="1"/>
  <c r="M208" i="1"/>
  <c r="L204" i="1"/>
  <c r="N195" i="1"/>
  <c r="L195" i="1"/>
  <c r="M195" i="1"/>
  <c r="N192" i="1"/>
  <c r="M192" i="1"/>
  <c r="N179" i="1"/>
  <c r="L179" i="1"/>
  <c r="M179" i="1"/>
  <c r="N176" i="1"/>
  <c r="M176" i="1"/>
  <c r="L172" i="1"/>
  <c r="N163" i="1"/>
  <c r="L163" i="1"/>
  <c r="M163" i="1"/>
  <c r="N160" i="1"/>
  <c r="M160" i="1"/>
  <c r="L156" i="1"/>
  <c r="N147" i="1"/>
  <c r="L147" i="1"/>
  <c r="M147" i="1"/>
  <c r="N144" i="1"/>
  <c r="M144" i="1"/>
  <c r="L140" i="1"/>
  <c r="N131" i="1"/>
  <c r="L131" i="1"/>
  <c r="M131" i="1"/>
  <c r="N128" i="1"/>
  <c r="M128" i="1"/>
  <c r="N124" i="1"/>
  <c r="L124" i="1"/>
  <c r="M124" i="1"/>
  <c r="N120" i="1"/>
  <c r="L120" i="1"/>
  <c r="M120" i="1"/>
  <c r="N116" i="1"/>
  <c r="L116" i="1"/>
  <c r="M116" i="1"/>
  <c r="N112" i="1"/>
  <c r="L112" i="1"/>
  <c r="M112" i="1"/>
  <c r="N108" i="1"/>
  <c r="L108" i="1"/>
  <c r="M108" i="1"/>
  <c r="N104" i="1"/>
  <c r="L104" i="1"/>
  <c r="M104" i="1"/>
  <c r="N100" i="1"/>
  <c r="L100" i="1"/>
  <c r="M100" i="1"/>
  <c r="N96" i="1"/>
  <c r="L96" i="1"/>
  <c r="M96" i="1"/>
  <c r="N92" i="1"/>
  <c r="L92" i="1"/>
  <c r="M92" i="1"/>
  <c r="N88" i="1"/>
  <c r="L88" i="1"/>
  <c r="M88" i="1"/>
  <c r="M80" i="1"/>
  <c r="L80" i="1"/>
  <c r="N80" i="1"/>
  <c r="M72" i="1"/>
  <c r="L72" i="1"/>
  <c r="N72" i="1"/>
  <c r="M64" i="1"/>
  <c r="L64" i="1"/>
  <c r="N64" i="1"/>
  <c r="M56" i="1"/>
  <c r="L56" i="1"/>
  <c r="N56" i="1"/>
  <c r="M48" i="1"/>
  <c r="L48" i="1"/>
  <c r="N48" i="1"/>
  <c r="M40" i="1"/>
  <c r="L40" i="1"/>
  <c r="N40" i="1"/>
  <c r="M32" i="1"/>
  <c r="L32" i="1"/>
  <c r="N32" i="1"/>
  <c r="M24" i="1"/>
  <c r="L24" i="1"/>
  <c r="N24" i="1"/>
  <c r="M16" i="1"/>
  <c r="L16" i="1"/>
  <c r="N16" i="1"/>
  <c r="M8" i="1"/>
  <c r="L8" i="1"/>
  <c r="N8" i="1"/>
  <c r="L230" i="1"/>
  <c r="M230" i="1"/>
  <c r="L226" i="1"/>
  <c r="M226" i="1"/>
  <c r="L218" i="1"/>
  <c r="M218" i="1"/>
  <c r="N191" i="1"/>
  <c r="L191" i="1"/>
  <c r="M191" i="1"/>
  <c r="N188" i="1"/>
  <c r="M188" i="1"/>
  <c r="N143" i="1"/>
  <c r="L143" i="1"/>
  <c r="M143" i="1"/>
  <c r="M365" i="1"/>
  <c r="M361" i="1"/>
  <c r="M357" i="1"/>
  <c r="M353" i="1"/>
  <c r="M349" i="1"/>
  <c r="M345" i="1"/>
  <c r="M341" i="1"/>
  <c r="M337" i="1"/>
  <c r="M333" i="1"/>
  <c r="M329" i="1"/>
  <c r="M325" i="1"/>
  <c r="M321" i="1"/>
  <c r="M317" i="1"/>
  <c r="M313" i="1"/>
  <c r="M309" i="1"/>
  <c r="M305" i="1"/>
  <c r="M301" i="1"/>
  <c r="M297" i="1"/>
  <c r="M293" i="1"/>
  <c r="M289" i="1"/>
  <c r="M285" i="1"/>
  <c r="M281" i="1"/>
  <c r="M277" i="1"/>
  <c r="M273" i="1"/>
  <c r="M269" i="1"/>
  <c r="M265" i="1"/>
  <c r="M261" i="1"/>
  <c r="M257" i="1"/>
  <c r="M253" i="1"/>
  <c r="M249" i="1"/>
  <c r="M245" i="1"/>
  <c r="M241" i="1"/>
  <c r="M237" i="1"/>
  <c r="M233" i="1"/>
  <c r="N231" i="1"/>
  <c r="N229" i="1"/>
  <c r="N227" i="1"/>
  <c r="N225" i="1"/>
  <c r="N223" i="1"/>
  <c r="N221" i="1"/>
  <c r="N219" i="1"/>
  <c r="N217" i="1"/>
  <c r="N215" i="1"/>
  <c r="L212" i="1"/>
  <c r="N203" i="1"/>
  <c r="L203" i="1"/>
  <c r="M203" i="1"/>
  <c r="N200" i="1"/>
  <c r="M200" i="1"/>
  <c r="L196" i="1"/>
  <c r="N187" i="1"/>
  <c r="L187" i="1"/>
  <c r="M187" i="1"/>
  <c r="N184" i="1"/>
  <c r="M184" i="1"/>
  <c r="L180" i="1"/>
  <c r="N171" i="1"/>
  <c r="L171" i="1"/>
  <c r="M171" i="1"/>
  <c r="N168" i="1"/>
  <c r="M168" i="1"/>
  <c r="L164" i="1"/>
  <c r="N155" i="1"/>
  <c r="L155" i="1"/>
  <c r="M155" i="1"/>
  <c r="N152" i="1"/>
  <c r="M152" i="1"/>
  <c r="L148" i="1"/>
  <c r="N139" i="1"/>
  <c r="L139" i="1"/>
  <c r="M139" i="1"/>
  <c r="N136" i="1"/>
  <c r="M136" i="1"/>
  <c r="L132" i="1"/>
  <c r="M83" i="1"/>
  <c r="N83" i="1"/>
  <c r="L83" i="1"/>
  <c r="M75" i="1"/>
  <c r="N75" i="1"/>
  <c r="L75" i="1"/>
  <c r="M67" i="1"/>
  <c r="N67" i="1"/>
  <c r="L67" i="1"/>
  <c r="M59" i="1"/>
  <c r="N59" i="1"/>
  <c r="L59" i="1"/>
  <c r="M51" i="1"/>
  <c r="N51" i="1"/>
  <c r="L51" i="1"/>
  <c r="M43" i="1"/>
  <c r="N43" i="1"/>
  <c r="L43" i="1"/>
  <c r="M35" i="1"/>
  <c r="N35" i="1"/>
  <c r="L35" i="1"/>
  <c r="M27" i="1"/>
  <c r="N27" i="1"/>
  <c r="L27" i="1"/>
  <c r="M19" i="1"/>
  <c r="N19" i="1"/>
  <c r="L19" i="1"/>
  <c r="M11" i="1"/>
  <c r="N11" i="1"/>
  <c r="L11" i="1"/>
  <c r="M3" i="1"/>
  <c r="N3" i="1"/>
  <c r="L3" i="1"/>
  <c r="M127" i="1"/>
  <c r="M123" i="1"/>
  <c r="M119" i="1"/>
  <c r="M115" i="1"/>
  <c r="M111" i="1"/>
  <c r="M107" i="1"/>
  <c r="M103" i="1"/>
  <c r="M99" i="1"/>
  <c r="M95" i="1"/>
  <c r="M91" i="1"/>
  <c r="L127" i="1"/>
  <c r="L123" i="1"/>
  <c r="L119" i="1"/>
  <c r="L115" i="1"/>
  <c r="L111" i="1"/>
  <c r="L107" i="1"/>
  <c r="L103" i="1"/>
  <c r="L99" i="1"/>
  <c r="L95" i="1"/>
  <c r="L91" i="1"/>
  <c r="M87" i="1"/>
  <c r="N87" i="1"/>
  <c r="M82" i="1"/>
  <c r="L82" i="1"/>
  <c r="M79" i="1"/>
  <c r="N79" i="1"/>
  <c r="M74" i="1"/>
  <c r="L74" i="1"/>
  <c r="M71" i="1"/>
  <c r="N71" i="1"/>
  <c r="M66" i="1"/>
  <c r="L66" i="1"/>
  <c r="M63" i="1"/>
  <c r="N63" i="1"/>
  <c r="M58" i="1"/>
  <c r="L58" i="1"/>
  <c r="M55" i="1"/>
  <c r="N55" i="1"/>
  <c r="M50" i="1"/>
  <c r="L50" i="1"/>
  <c r="M47" i="1"/>
  <c r="N47" i="1"/>
  <c r="M42" i="1"/>
  <c r="L42" i="1"/>
  <c r="M39" i="1"/>
  <c r="N39" i="1"/>
  <c r="M34" i="1"/>
  <c r="L34" i="1"/>
  <c r="M31" i="1"/>
  <c r="N31" i="1"/>
  <c r="M26" i="1"/>
  <c r="L26" i="1"/>
  <c r="M23" i="1"/>
  <c r="N23" i="1"/>
  <c r="M18" i="1"/>
  <c r="L18" i="1"/>
  <c r="M15" i="1"/>
  <c r="N15" i="1"/>
  <c r="M10" i="1"/>
  <c r="L10" i="1"/>
  <c r="M7" i="1"/>
  <c r="N7" i="1"/>
</calcChain>
</file>

<file path=xl/comments1.xml><?xml version="1.0" encoding="utf-8"?>
<comments xmlns="http://schemas.openxmlformats.org/spreadsheetml/2006/main">
  <authors>
    <author>Author</author>
    <author>Nayomi Edirisinghe</author>
  </authors>
  <commentList>
    <comment ref="E39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Customer said the policy number</t>
        </r>
      </text>
    </comment>
    <comment ref="E39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confirmed by Supun life  pending clearing monthly mails</t>
        </r>
      </text>
    </comment>
    <comment ref="E40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Customer said the policy number</t>
        </r>
      </text>
    </comment>
    <comment ref="E40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confirmed by Supun life  pending clearing monthly mails</t>
        </r>
      </text>
    </comment>
    <comment ref="E422" authorId="1">
      <text>
        <r>
          <rPr>
            <b/>
            <sz val="9"/>
            <color indexed="81"/>
            <rFont val="Tahoma"/>
            <family val="2"/>
          </rPr>
          <t>Nayomi Edirisinghe:</t>
        </r>
        <r>
          <rPr>
            <sz val="9"/>
            <color indexed="81"/>
            <rFont val="Tahoma"/>
            <family val="2"/>
          </rPr>
          <t xml:space="preserve">
sonlin ngb </t>
        </r>
      </text>
    </comment>
    <comment ref="E423" authorId="1">
      <text>
        <r>
          <rPr>
            <b/>
            <sz val="9"/>
            <color indexed="81"/>
            <rFont val="Tahoma"/>
            <family val="2"/>
          </rPr>
          <t>Nayomi Edirisinghe:</t>
        </r>
        <r>
          <rPr>
            <sz val="9"/>
            <color indexed="81"/>
            <rFont val="Tahoma"/>
            <family val="2"/>
          </rPr>
          <t xml:space="preserve">
Sajeevi Peiris</t>
        </r>
      </text>
    </comment>
    <comment ref="E424" authorId="1">
      <text>
        <r>
          <rPr>
            <b/>
            <sz val="9"/>
            <color indexed="81"/>
            <rFont val="Tahoma"/>
            <family val="2"/>
          </rPr>
          <t>Nayomi Edirisinghe:</t>
        </r>
        <r>
          <rPr>
            <sz val="9"/>
            <color indexed="81"/>
            <rFont val="Tahoma"/>
            <family val="2"/>
          </rPr>
          <t xml:space="preserve">
W M D C Srilal 
Underwriting Assistant
HNB Assurance PLC
Gampaha
</t>
        </r>
      </text>
    </comment>
    <comment ref="E425" authorId="1">
      <text>
        <r>
          <rPr>
            <b/>
            <sz val="9"/>
            <color indexed="81"/>
            <rFont val="Tahoma"/>
            <family val="2"/>
          </rPr>
          <t>Nayomi Edirisinghe:</t>
        </r>
        <r>
          <rPr>
            <sz val="9"/>
            <color indexed="81"/>
            <rFont val="Tahoma"/>
            <family val="2"/>
          </rPr>
          <t xml:space="preserve">
Sajeevi Peiris</t>
        </r>
      </text>
    </comment>
    <comment ref="E426" authorId="1">
      <text>
        <r>
          <rPr>
            <b/>
            <sz val="9"/>
            <color indexed="81"/>
            <rFont val="Tahoma"/>
            <family val="2"/>
          </rPr>
          <t>Nayomi Edirisinghe:</t>
        </r>
        <r>
          <rPr>
            <sz val="9"/>
            <color indexed="81"/>
            <rFont val="Tahoma"/>
            <family val="2"/>
          </rPr>
          <t xml:space="preserve">
W M D C Srilal 
Underwriting Assistant
HNB Assurance PLC
Gampaha
</t>
        </r>
      </text>
    </comment>
  </commentList>
</comments>
</file>

<file path=xl/sharedStrings.xml><?xml version="1.0" encoding="utf-8"?>
<sst xmlns="http://schemas.openxmlformats.org/spreadsheetml/2006/main" count="6250" uniqueCount="1936">
  <si>
    <t>SDC127312</t>
  </si>
  <si>
    <t>POLICY NO:010000179</t>
  </si>
  <si>
    <t>701010008838</t>
  </si>
  <si>
    <t>SDC186280</t>
  </si>
  <si>
    <t>SDC109024</t>
  </si>
  <si>
    <t>P/N 010007097 AMARAKOON A S</t>
  </si>
  <si>
    <t>SDC113352</t>
  </si>
  <si>
    <t>P/N 010013235</t>
  </si>
  <si>
    <t>SDC105959</t>
  </si>
  <si>
    <t>010014359 KUMUDUNI</t>
  </si>
  <si>
    <t>SDC132296</t>
  </si>
  <si>
    <t>SDC110055</t>
  </si>
  <si>
    <t>SDC137040</t>
  </si>
  <si>
    <t>P/N 010017877</t>
  </si>
  <si>
    <t>SDC209568</t>
  </si>
  <si>
    <t>SDC137152</t>
  </si>
  <si>
    <t>P/NO.010030043- M R NOORDEEN</t>
  </si>
  <si>
    <t>SDC176406</t>
  </si>
  <si>
    <t>SDC160835</t>
  </si>
  <si>
    <t>SDC189749</t>
  </si>
  <si>
    <t>SDC110010</t>
  </si>
  <si>
    <t>S/O PAY-P/N 010042680</t>
  </si>
  <si>
    <t>SDC115670</t>
  </si>
  <si>
    <t>010049109 W W M G S FERNANDO</t>
  </si>
  <si>
    <t>SDC214317</t>
  </si>
  <si>
    <t>SDC123167</t>
  </si>
  <si>
    <t>SDC180465</t>
  </si>
  <si>
    <t>SDC203596</t>
  </si>
  <si>
    <t>SDC179016</t>
  </si>
  <si>
    <t>SDC206933</t>
  </si>
  <si>
    <t>SDC167747</t>
  </si>
  <si>
    <t>SDC178803</t>
  </si>
  <si>
    <t>010064992 K.P.WALISINGHE</t>
  </si>
  <si>
    <t>SDC213542</t>
  </si>
  <si>
    <t>SDC128371</t>
  </si>
  <si>
    <t>P/NO 010068449 PRAGASH PG</t>
  </si>
  <si>
    <t>SDC198739</t>
  </si>
  <si>
    <t>SDC200519</t>
  </si>
  <si>
    <t>SDC213773</t>
  </si>
  <si>
    <t>SDC169889</t>
  </si>
  <si>
    <t>SDC168844</t>
  </si>
  <si>
    <t>SDC131065</t>
  </si>
  <si>
    <t>SDC180705</t>
  </si>
  <si>
    <t>SDC168864</t>
  </si>
  <si>
    <t>SDC115502</t>
  </si>
  <si>
    <t>010102296-K N R FERNANDO</t>
  </si>
  <si>
    <t>SDC198052</t>
  </si>
  <si>
    <t>010106429 YAMUNA RATHNAYAKA</t>
  </si>
  <si>
    <t>SDC125128</t>
  </si>
  <si>
    <t>PN 010107752</t>
  </si>
  <si>
    <t>SDC191977</t>
  </si>
  <si>
    <t>SDC207185</t>
  </si>
  <si>
    <t>010115649 - G SOMAWATHIE</t>
  </si>
  <si>
    <t>SDC113169</t>
  </si>
  <si>
    <t>010118936-R M S N RAJAPAKSKA</t>
  </si>
  <si>
    <t>SDC203116</t>
  </si>
  <si>
    <t>SDC195505</t>
  </si>
  <si>
    <t>SDC186764</t>
  </si>
  <si>
    <t>SDC128355</t>
  </si>
  <si>
    <t>010121359 VANITHA</t>
  </si>
  <si>
    <t>701010008810</t>
  </si>
  <si>
    <t>SDC206423</t>
  </si>
  <si>
    <t>SDC188901</t>
  </si>
  <si>
    <t>SDC174599</t>
  </si>
  <si>
    <t>SDC183939</t>
  </si>
  <si>
    <t>SDC184075</t>
  </si>
  <si>
    <t>SDC115672</t>
  </si>
  <si>
    <t>010125329 / 010125327 N D K J GUNASEKARA</t>
  </si>
  <si>
    <t>SDC205396</t>
  </si>
  <si>
    <t>010128586 R.SELVARAJ</t>
  </si>
  <si>
    <t>SDC105602</t>
  </si>
  <si>
    <t>POLICY NO: 010129296 MR SAMARASINGHE S W</t>
  </si>
  <si>
    <t>SDC210913</t>
  </si>
  <si>
    <t>010129463 A.RAMANI</t>
  </si>
  <si>
    <t>SDC115604</t>
  </si>
  <si>
    <t>010129888 WNCP PEIRIS</t>
  </si>
  <si>
    <t>SDC115555</t>
  </si>
  <si>
    <t>010129889=5726 WNCP PEIRIS</t>
  </si>
  <si>
    <t>SDC206198</t>
  </si>
  <si>
    <t>SDC168695</t>
  </si>
  <si>
    <t>SDC168127</t>
  </si>
  <si>
    <t>SDC113612</t>
  </si>
  <si>
    <t>010133711-1503/-</t>
  </si>
  <si>
    <t>SDC132004</t>
  </si>
  <si>
    <t>010135846 INOKA JAYASINGHE</t>
  </si>
  <si>
    <t>SDC207140</t>
  </si>
  <si>
    <t>SDC161613</t>
  </si>
  <si>
    <t>SDC189592</t>
  </si>
  <si>
    <t>SDC107137</t>
  </si>
  <si>
    <t>010136960 P V DAYASENA</t>
  </si>
  <si>
    <t>SDC105416</t>
  </si>
  <si>
    <t>010138130 J P R PERERA</t>
  </si>
  <si>
    <t>SDC206269</t>
  </si>
  <si>
    <t>SDC112438</t>
  </si>
  <si>
    <t>SDC113561</t>
  </si>
  <si>
    <t>010145100-1507/-</t>
  </si>
  <si>
    <t>SDC193938</t>
  </si>
  <si>
    <t>SDC113274</t>
  </si>
  <si>
    <t>P/NO-010145875</t>
  </si>
  <si>
    <t>SDC112994</t>
  </si>
  <si>
    <t>SDC180105</t>
  </si>
  <si>
    <t>SDC166013</t>
  </si>
  <si>
    <t>SDC178496</t>
  </si>
  <si>
    <t>SDC211375</t>
  </si>
  <si>
    <t>SDC113918</t>
  </si>
  <si>
    <t>P/N 010157710</t>
  </si>
  <si>
    <t>SDC115624</t>
  </si>
  <si>
    <t>P/N010159720</t>
  </si>
  <si>
    <t>SDC115193</t>
  </si>
  <si>
    <t>P.NO 010161088</t>
  </si>
  <si>
    <t>SDC180136</t>
  </si>
  <si>
    <t>SDC192864</t>
  </si>
  <si>
    <t>SDC200392</t>
  </si>
  <si>
    <t>SDC177392</t>
  </si>
  <si>
    <t>SDC162481</t>
  </si>
  <si>
    <t>SDC134565</t>
  </si>
  <si>
    <t>P/N. 010176600 - S. MOHANARAJAN</t>
  </si>
  <si>
    <t>SDC168399</t>
  </si>
  <si>
    <t>010179016 - A K T NIMANSHA</t>
  </si>
  <si>
    <t>SDC207036</t>
  </si>
  <si>
    <t>SDC123323</t>
  </si>
  <si>
    <t>P/N. 010183963</t>
  </si>
  <si>
    <t>SDC195850</t>
  </si>
  <si>
    <t>SDC107690</t>
  </si>
  <si>
    <t>P/N. 010187591  - W.S.R. FERNANDO.</t>
  </si>
  <si>
    <t>SDC204146</t>
  </si>
  <si>
    <t>SDC204956</t>
  </si>
  <si>
    <t>SDC113793</t>
  </si>
  <si>
    <t>P/N 010191272 K D N WIJEWARDANA</t>
  </si>
  <si>
    <t>SDC191246</t>
  </si>
  <si>
    <t>SDC199824</t>
  </si>
  <si>
    <t>SDC177991</t>
  </si>
  <si>
    <t>SDC136910</t>
  </si>
  <si>
    <t>PN 010197488-SELVAKUMAR S</t>
  </si>
  <si>
    <t>SDC170654</t>
  </si>
  <si>
    <t>SDC182275</t>
  </si>
  <si>
    <t>701010008829</t>
  </si>
  <si>
    <t>SDC107704</t>
  </si>
  <si>
    <t>P/N 010202519-PILAMINA K A A</t>
  </si>
  <si>
    <t>SDC109629</t>
  </si>
  <si>
    <t>P/N.010209135</t>
  </si>
  <si>
    <t>SDC190365</t>
  </si>
  <si>
    <t>SDC203285</t>
  </si>
  <si>
    <t>SDC203380</t>
  </si>
  <si>
    <t>SDC164588</t>
  </si>
  <si>
    <t>SDC172331</t>
  </si>
  <si>
    <t>SDC178537</t>
  </si>
  <si>
    <t>SDC123309</t>
  </si>
  <si>
    <t>PN  010223562</t>
  </si>
  <si>
    <t>SDC122239</t>
  </si>
  <si>
    <t>PN 010226257-WIJERATHNE K G C N</t>
  </si>
  <si>
    <t>SDC211433</t>
  </si>
  <si>
    <t>SDC171355</t>
  </si>
  <si>
    <t>SDC190690</t>
  </si>
  <si>
    <t>SDC170848</t>
  </si>
  <si>
    <t>SDC131339</t>
  </si>
  <si>
    <t>PN 010248514</t>
  </si>
  <si>
    <t>SDC169210</t>
  </si>
  <si>
    <t>SDC200624</t>
  </si>
  <si>
    <t>SDC131494</t>
  </si>
  <si>
    <t>P/N 010248955</t>
  </si>
  <si>
    <t>SDC131771</t>
  </si>
  <si>
    <t>P/N 010249961</t>
  </si>
  <si>
    <t>SDC131628</t>
  </si>
  <si>
    <t>PN 010250043</t>
  </si>
  <si>
    <t>SDC132326</t>
  </si>
  <si>
    <t>PN 010252183</t>
  </si>
  <si>
    <t>SDC161633</t>
  </si>
  <si>
    <t>SDC181279</t>
  </si>
  <si>
    <t>SDC132401</t>
  </si>
  <si>
    <t>P/N 010253128</t>
  </si>
  <si>
    <t>SDC132643</t>
  </si>
  <si>
    <t>PN 010253306</t>
  </si>
  <si>
    <t>SDC132524</t>
  </si>
  <si>
    <t>P/N 010253503</t>
  </si>
  <si>
    <t>SDC132443</t>
  </si>
  <si>
    <t>P/N 010253505</t>
  </si>
  <si>
    <t>SDC132685</t>
  </si>
  <si>
    <t>P/N 010253618</t>
  </si>
  <si>
    <t>SDC179912</t>
  </si>
  <si>
    <t>SDC129981</t>
  </si>
  <si>
    <t>PN-010255713</t>
  </si>
  <si>
    <t>SDC119453</t>
  </si>
  <si>
    <t>PN-010255939 MHG</t>
  </si>
  <si>
    <t>SDC114216</t>
  </si>
  <si>
    <t>P/N 010255966</t>
  </si>
  <si>
    <t>DC143499</t>
  </si>
  <si>
    <t>SDC192207</t>
  </si>
  <si>
    <t>SDC113125</t>
  </si>
  <si>
    <t>P/N 010257085</t>
  </si>
  <si>
    <t>SDC133117</t>
  </si>
  <si>
    <t>PN-010257106</t>
  </si>
  <si>
    <t>SDC108947</t>
  </si>
  <si>
    <t>R/N 010257728</t>
  </si>
  <si>
    <t>SDC133716</t>
  </si>
  <si>
    <t>PN-010258611</t>
  </si>
  <si>
    <t>SDC105896</t>
  </si>
  <si>
    <t>PN-010258968</t>
  </si>
  <si>
    <t>SDC134469</t>
  </si>
  <si>
    <t>PN-010260578</t>
  </si>
  <si>
    <t>SDC134204</t>
  </si>
  <si>
    <t>PN-010260801</t>
  </si>
  <si>
    <t>SDC134384</t>
  </si>
  <si>
    <t>PN-010261202</t>
  </si>
  <si>
    <t>SDC134067</t>
  </si>
  <si>
    <t>PN - 010261218</t>
  </si>
  <si>
    <t>SDC196818</t>
  </si>
  <si>
    <t>SDC128219</t>
  </si>
  <si>
    <t>P/N 010262717-KUMUDUNI L M S</t>
  </si>
  <si>
    <t>SDC135141</t>
  </si>
  <si>
    <t>PN-010267645</t>
  </si>
  <si>
    <t>SDC135470</t>
  </si>
  <si>
    <t>PN-010267764</t>
  </si>
  <si>
    <t>SDC135745</t>
  </si>
  <si>
    <t>PN-010267861</t>
  </si>
  <si>
    <t>SDC135841</t>
  </si>
  <si>
    <t>P/N 010268030</t>
  </si>
  <si>
    <t>SDC133594</t>
  </si>
  <si>
    <t>P/N 10268164</t>
  </si>
  <si>
    <t>SDC135652</t>
  </si>
  <si>
    <t>PN-010268252</t>
  </si>
  <si>
    <t>SDC135690</t>
  </si>
  <si>
    <t>PN-010268254</t>
  </si>
  <si>
    <t>SDC135628</t>
  </si>
  <si>
    <t>PN-010268356</t>
  </si>
  <si>
    <t>SDC135089</t>
  </si>
  <si>
    <t>PN-010269152</t>
  </si>
  <si>
    <t>SDC134852</t>
  </si>
  <si>
    <t>PN-010269297</t>
  </si>
  <si>
    <t>SDC134929</t>
  </si>
  <si>
    <t>PN-010269314</t>
  </si>
  <si>
    <t>SDC124104</t>
  </si>
  <si>
    <t>P/N 010270805</t>
  </si>
  <si>
    <t>SDC206962</t>
  </si>
  <si>
    <t>SDC133209</t>
  </si>
  <si>
    <t>P/N 010272269</t>
  </si>
  <si>
    <t>SDC127827</t>
  </si>
  <si>
    <t>P/N 010272794</t>
  </si>
  <si>
    <t>SDC135796</t>
  </si>
  <si>
    <t>P/N 010272862</t>
  </si>
  <si>
    <t>SDC200584</t>
  </si>
  <si>
    <t>SDC169245</t>
  </si>
  <si>
    <t>SDC136055</t>
  </si>
  <si>
    <t>P/N 010277419</t>
  </si>
  <si>
    <t>SDC133300</t>
  </si>
  <si>
    <t>P/N 010278629- 0778219765</t>
  </si>
  <si>
    <t>SDC199143</t>
  </si>
  <si>
    <t>SDC185049</t>
  </si>
  <si>
    <t>010281192 - U O U KUMARA</t>
  </si>
  <si>
    <t>SDC115962</t>
  </si>
  <si>
    <t>P/N 010284417</t>
  </si>
  <si>
    <t>SDC162602</t>
  </si>
  <si>
    <t>SDC112263</t>
  </si>
  <si>
    <t>P/N 010290605</t>
  </si>
  <si>
    <t>SDC205086</t>
  </si>
  <si>
    <t>SDC206365</t>
  </si>
  <si>
    <t>SDC175075</t>
  </si>
  <si>
    <t>SDC111471</t>
  </si>
  <si>
    <t>8B030102414 ATW PERE</t>
  </si>
  <si>
    <t>SDC124301</t>
  </si>
  <si>
    <t>S/O PAY 8B030113150 A A D KAMALAWATHIE</t>
  </si>
  <si>
    <t>SDC109384</t>
  </si>
  <si>
    <t>8B 030118409</t>
  </si>
  <si>
    <t>SDC204837</t>
  </si>
  <si>
    <t>SDC109247</t>
  </si>
  <si>
    <t>9B 030124441</t>
  </si>
  <si>
    <t>SDC123749</t>
  </si>
  <si>
    <t>9B030126122</t>
  </si>
  <si>
    <t>SDC108790</t>
  </si>
  <si>
    <t>9B030127119</t>
  </si>
  <si>
    <t>SDC106483</t>
  </si>
  <si>
    <t>9B 030130008</t>
  </si>
  <si>
    <t>SDC106403</t>
  </si>
  <si>
    <t>SDC113116</t>
  </si>
  <si>
    <t>030133289 P A C PRIYADARSHANI</t>
  </si>
  <si>
    <t>SDC111724</t>
  </si>
  <si>
    <t>9B030134332 WAAS MASKP</t>
  </si>
  <si>
    <t>SDC132986</t>
  </si>
  <si>
    <t>P/N 9B030134638</t>
  </si>
  <si>
    <t>SDC113464</t>
  </si>
  <si>
    <t>POLICY - 030138958 - G.L.ANIL</t>
  </si>
  <si>
    <t>SDC109402</t>
  </si>
  <si>
    <t>SDC109300</t>
  </si>
  <si>
    <t>030142361 M M SAMARASEKARA</t>
  </si>
  <si>
    <t>SDC137014</t>
  </si>
  <si>
    <t>POL NO 030146197-J A REGINOLD</t>
  </si>
  <si>
    <t>SDC137015</t>
  </si>
  <si>
    <t>POLICY NO 30146211-R MARY LURDS</t>
  </si>
  <si>
    <t>SDC106295</t>
  </si>
  <si>
    <t>030146261 P A N PRASANNA</t>
  </si>
  <si>
    <t>SDC170979</t>
  </si>
  <si>
    <t>SDC111891</t>
  </si>
  <si>
    <t>S/O 030147101</t>
  </si>
  <si>
    <t>SDC111730</t>
  </si>
  <si>
    <t>030147604-G M FERNANDO</t>
  </si>
  <si>
    <t>SDC133036</t>
  </si>
  <si>
    <t>S/O 030147606  K K N ARIYAJEEW</t>
  </si>
  <si>
    <t>SDC116309</t>
  </si>
  <si>
    <t>030147607 M GNANASEKARAM</t>
  </si>
  <si>
    <t>SDC109301</t>
  </si>
  <si>
    <t>030147697 R M J K MUWANWELLA</t>
  </si>
  <si>
    <t>SDC105501</t>
  </si>
  <si>
    <t>P/N. 030149104  - WIJESURIYA W A P P R</t>
  </si>
  <si>
    <t>SDC113334</t>
  </si>
  <si>
    <t>POLICY 30150929</t>
  </si>
  <si>
    <t>SDC122556</t>
  </si>
  <si>
    <t>SDC112440</t>
  </si>
  <si>
    <t>030152830 M W S DE SILVA</t>
  </si>
  <si>
    <t>SDC123518</t>
  </si>
  <si>
    <t>P/NO-030155305-T B R K THOTAWATHTHA</t>
  </si>
  <si>
    <t>SDC122748</t>
  </si>
  <si>
    <t>030155835 S VIMALATHEVI</t>
  </si>
  <si>
    <t>SDC106811</t>
  </si>
  <si>
    <t>SDC119280</t>
  </si>
  <si>
    <t>030161203  G A I MADUSHANKA</t>
  </si>
  <si>
    <t>SDC105379</t>
  </si>
  <si>
    <t>030161539 S M S MENIKE</t>
  </si>
  <si>
    <t>SDC125301</t>
  </si>
  <si>
    <t>SDC132512</t>
  </si>
  <si>
    <t>P/N 030169243</t>
  </si>
  <si>
    <t>SDC132470</t>
  </si>
  <si>
    <t>SDC125869</t>
  </si>
  <si>
    <t>P.NO:030169245 M.I.M.ANSAR</t>
  </si>
  <si>
    <t>SDC121960</t>
  </si>
  <si>
    <t>P/N. 030170401 - KIRUSNAPILAI S</t>
  </si>
  <si>
    <t>SDC109478</t>
  </si>
  <si>
    <t>SDC217760</t>
  </si>
  <si>
    <t>SDC106588</t>
  </si>
  <si>
    <t>030173256 A S R FERNDO</t>
  </si>
  <si>
    <t>SDC106747</t>
  </si>
  <si>
    <t>P/N 030174070 / KUMARA M A A</t>
  </si>
  <si>
    <t>SDC106667</t>
  </si>
  <si>
    <t>SDC119567</t>
  </si>
  <si>
    <t>SDC121071</t>
  </si>
  <si>
    <t>P/N. 030177709 - YASARATHNA G D S T</t>
  </si>
  <si>
    <t>SDC107172</t>
  </si>
  <si>
    <t>P/N. 030180631 -PIYASENA M</t>
  </si>
  <si>
    <t>SDC129537</t>
  </si>
  <si>
    <t>P/N 030184149 - VIJITHA S</t>
  </si>
  <si>
    <t>SDC128384</t>
  </si>
  <si>
    <t>P/N 030191503</t>
  </si>
  <si>
    <t>SDC125245</t>
  </si>
  <si>
    <t>P/N 030194605</t>
  </si>
  <si>
    <t>SDC123388</t>
  </si>
  <si>
    <t>P/N.030194935</t>
  </si>
  <si>
    <t>SDC119502</t>
  </si>
  <si>
    <t>SDC115846</t>
  </si>
  <si>
    <t>P/N. 030195471 - SUBASINGHA  S A S</t>
  </si>
  <si>
    <t>SDC129939</t>
  </si>
  <si>
    <t>P/N 030199551</t>
  </si>
  <si>
    <t>SDC119599</t>
  </si>
  <si>
    <t>P/N. 030200350 - KURUPPUARACHCHI T I</t>
  </si>
  <si>
    <t>SDC171618</t>
  </si>
  <si>
    <t>SDC131838</t>
  </si>
  <si>
    <t>PN-030200413 M W W KUMARA</t>
  </si>
  <si>
    <t>SDC105994</t>
  </si>
  <si>
    <t>P/L.030203421</t>
  </si>
  <si>
    <t>SDC124978</t>
  </si>
  <si>
    <t>P/N. 030205832</t>
  </si>
  <si>
    <t>SDC124285</t>
  </si>
  <si>
    <t>P/N 030207701</t>
  </si>
  <si>
    <t>SDC210497</t>
  </si>
  <si>
    <t>SDC123237</t>
  </si>
  <si>
    <t>P/N.030208664</t>
  </si>
  <si>
    <t>SDC125495</t>
  </si>
  <si>
    <t>P/N.030208817</t>
  </si>
  <si>
    <t>SDC110272</t>
  </si>
  <si>
    <t>P/N.030208869</t>
  </si>
  <si>
    <t>SDC105632</t>
  </si>
  <si>
    <t>P/N.030209521-BANDARA A M S</t>
  </si>
  <si>
    <t>SDC133919</t>
  </si>
  <si>
    <t>P/N 030212358-SAMANTHA S P D S</t>
  </si>
  <si>
    <t>SDC116503</t>
  </si>
  <si>
    <t>P/N.030212381</t>
  </si>
  <si>
    <t>SDC171293</t>
  </si>
  <si>
    <t>SDC135421</t>
  </si>
  <si>
    <t>P/N 030213981</t>
  </si>
  <si>
    <t>SDC217314</t>
  </si>
  <si>
    <t>SDC210328</t>
  </si>
  <si>
    <t>SDC106559</t>
  </si>
  <si>
    <t>P/N 030223968</t>
  </si>
  <si>
    <t>SDC111367</t>
  </si>
  <si>
    <t>PN 030230989</t>
  </si>
  <si>
    <t>SDC115789</t>
  </si>
  <si>
    <t>P/N 030231051</t>
  </si>
  <si>
    <t>SDC121336</t>
  </si>
  <si>
    <t>P/N 030232379-KAJENDRAN M</t>
  </si>
  <si>
    <t>SDC121333</t>
  </si>
  <si>
    <t>P/N 030232441-SATHEESKUMAR M</t>
  </si>
  <si>
    <t>SDC125490</t>
  </si>
  <si>
    <t>P/N 030232502-SITHTHIRATHEVY M</t>
  </si>
  <si>
    <t>SDC125588</t>
  </si>
  <si>
    <t>P/N 030232508-WASANTHA P B R</t>
  </si>
  <si>
    <t>SDC127640</t>
  </si>
  <si>
    <t>PN 030234349-PERERA D F R S C</t>
  </si>
  <si>
    <t>SDC130936</t>
  </si>
  <si>
    <t>P/N 030234446</t>
  </si>
  <si>
    <t>SDC129142</t>
  </si>
  <si>
    <t>P/N 030235720</t>
  </si>
  <si>
    <t>SDC135667</t>
  </si>
  <si>
    <t>P/N 030237907</t>
  </si>
  <si>
    <t>SDC105272</t>
  </si>
  <si>
    <t>P/N 030238384-SHAMALAL W D M S</t>
  </si>
  <si>
    <t>SDC162926</t>
  </si>
  <si>
    <t>SDC131077</t>
  </si>
  <si>
    <t>PN 030238597-SRILAL R N</t>
  </si>
  <si>
    <t>SDC120696</t>
  </si>
  <si>
    <t>PN 030238617</t>
  </si>
  <si>
    <t>SDC111743</t>
  </si>
  <si>
    <t>PN 030238736-RODRIGO A D P</t>
  </si>
  <si>
    <t>SDC120660</t>
  </si>
  <si>
    <t>PN 030239317</t>
  </si>
  <si>
    <t>SDC187517</t>
  </si>
  <si>
    <t>SDC187908</t>
  </si>
  <si>
    <t>SDC131441</t>
  </si>
  <si>
    <t>PN 030242327-KARUNARATHNA R G T</t>
  </si>
  <si>
    <t>SDC110702</t>
  </si>
  <si>
    <t>PN 030243607</t>
  </si>
  <si>
    <t>SDC122819</t>
  </si>
  <si>
    <t>PN 030244207-SIYAMALAN P</t>
  </si>
  <si>
    <t>SDC163041</t>
  </si>
  <si>
    <t>SDC124650</t>
  </si>
  <si>
    <t>P/N 030245992</t>
  </si>
  <si>
    <t>SDC178773</t>
  </si>
  <si>
    <t>SDC121971</t>
  </si>
  <si>
    <t>PN-030249193</t>
  </si>
  <si>
    <t>SDC116530</t>
  </si>
  <si>
    <t>P/N 030252082-SURANGA D L A</t>
  </si>
  <si>
    <t>SDC116472</t>
  </si>
  <si>
    <t>SDC125240</t>
  </si>
  <si>
    <t>P/N 30253025</t>
  </si>
  <si>
    <t>SDC110413</t>
  </si>
  <si>
    <t>PN- 030253148</t>
  </si>
  <si>
    <t>SDC123592</t>
  </si>
  <si>
    <t>P/N 030255441</t>
  </si>
  <si>
    <t>SDC130089</t>
  </si>
  <si>
    <t>P/N 030255660</t>
  </si>
  <si>
    <t>SDC124041</t>
  </si>
  <si>
    <t>PN-030255759</t>
  </si>
  <si>
    <t>SDC125543</t>
  </si>
  <si>
    <t>PN-030255762 SRIRAAGINI P</t>
  </si>
  <si>
    <t>SDC124748</t>
  </si>
  <si>
    <t>PN-030256008</t>
  </si>
  <si>
    <t>SDC132487</t>
  </si>
  <si>
    <t>P/N 030257781 NANTHAKUMAR R</t>
  </si>
  <si>
    <t>SDC109479</t>
  </si>
  <si>
    <t>PN-030258298</t>
  </si>
  <si>
    <t>SDC131523</t>
  </si>
  <si>
    <t>PN-030260265  PITIGALA S G</t>
  </si>
  <si>
    <t>SDC131491</t>
  </si>
  <si>
    <t>P/N 030262992</t>
  </si>
  <si>
    <t>SDC130733</t>
  </si>
  <si>
    <t>P/N 030263675 TENNAKOON R T W</t>
  </si>
  <si>
    <t>SDC115631</t>
  </si>
  <si>
    <t>P/N 030264259</t>
  </si>
  <si>
    <t>SDC130692</t>
  </si>
  <si>
    <t>P/N 030264594 TENNAKOON V R W</t>
  </si>
  <si>
    <t>SDC112919</t>
  </si>
  <si>
    <t>PN-030265471 PRASANNA T.H.G.</t>
  </si>
  <si>
    <t>SDC110204</t>
  </si>
  <si>
    <t>P/N 030266087</t>
  </si>
  <si>
    <t>SDC110433</t>
  </si>
  <si>
    <t>P/N 030266089</t>
  </si>
  <si>
    <t>SDC130017</t>
  </si>
  <si>
    <t>P/N 030270918</t>
  </si>
  <si>
    <t>SDC203568</t>
  </si>
  <si>
    <t>SDC178037</t>
  </si>
  <si>
    <t>SDC124236</t>
  </si>
  <si>
    <t>P/N 030281947</t>
  </si>
  <si>
    <t>SDC108380</t>
  </si>
  <si>
    <t>P/N 030284193</t>
  </si>
  <si>
    <t>SDC124164</t>
  </si>
  <si>
    <t>P/N 030284204</t>
  </si>
  <si>
    <t>SDC127904</t>
  </si>
  <si>
    <t>P/N 030284210</t>
  </si>
  <si>
    <t>SDC113408</t>
  </si>
  <si>
    <t>P/N 030284243</t>
  </si>
  <si>
    <t>SDC122421</t>
  </si>
  <si>
    <t>P/N 030284358 - REXSHANIYA R</t>
  </si>
  <si>
    <t>SDC127866</t>
  </si>
  <si>
    <t>P/N 030284376</t>
  </si>
  <si>
    <t>SDC135190</t>
  </si>
  <si>
    <t>P/N 030285556</t>
  </si>
  <si>
    <t>SDC122487</t>
  </si>
  <si>
    <t>P/N 030287018-RAFEEK I</t>
  </si>
  <si>
    <t>SDC134324</t>
  </si>
  <si>
    <t>P/N 030288838 - PANDITHARATHNE D D L</t>
  </si>
  <si>
    <t>SDC115559</t>
  </si>
  <si>
    <t>P/N 030289610</t>
  </si>
  <si>
    <t>SDC109035</t>
  </si>
  <si>
    <t>P/N 030290756</t>
  </si>
  <si>
    <t>SDC106045</t>
  </si>
  <si>
    <t>P/N 030291827</t>
  </si>
  <si>
    <t>DC117601</t>
  </si>
  <si>
    <t>SDC167940</t>
  </si>
  <si>
    <t>SDC135895</t>
  </si>
  <si>
    <t>LIFE P/N 030297068</t>
  </si>
  <si>
    <t>SDC105152</t>
  </si>
  <si>
    <t>P/N 030298417</t>
  </si>
  <si>
    <t>SDC125090</t>
  </si>
  <si>
    <t>P/N 030298797</t>
  </si>
  <si>
    <t>SDC125042</t>
  </si>
  <si>
    <t>SDC134752</t>
  </si>
  <si>
    <t>P/N 030299334</t>
  </si>
  <si>
    <t>SDC121872</t>
  </si>
  <si>
    <t>P/N 030299429</t>
  </si>
  <si>
    <t>SDC136193</t>
  </si>
  <si>
    <t>LIFE P/N 030299863</t>
  </si>
  <si>
    <t>SDC134023</t>
  </si>
  <si>
    <t>P/N 030300274</t>
  </si>
  <si>
    <t>SDC222140</t>
  </si>
  <si>
    <t>DC93025</t>
  </si>
  <si>
    <t>POLICY NO - 030300882</t>
  </si>
  <si>
    <t>SDC199403</t>
  </si>
  <si>
    <t>SDC211603</t>
  </si>
  <si>
    <t>SDC122492</t>
  </si>
  <si>
    <t>PN-030303831-UTHAYAKUMAR S</t>
  </si>
  <si>
    <t>SDC119279</t>
  </si>
  <si>
    <t>P/N. 950001050</t>
  </si>
  <si>
    <t>SDC113439</t>
  </si>
  <si>
    <t>2004/ILP-P1/PND/2508</t>
  </si>
  <si>
    <t>SDC115286</t>
  </si>
  <si>
    <t>2004/ILP-P2/NGB/8631</t>
  </si>
  <si>
    <t>SDC115563</t>
  </si>
  <si>
    <t>2005/ICP-P1/NGB/10814</t>
  </si>
  <si>
    <t>SDC123644</t>
  </si>
  <si>
    <t>2005/ILP P2 CTY 7924 D D DEVARAJAH</t>
  </si>
  <si>
    <t>SDC126326</t>
  </si>
  <si>
    <t>2005/P2/ GMP/11612</t>
  </si>
  <si>
    <t>SDC125133</t>
  </si>
  <si>
    <t>2006/ILP/P/KDY/4583 S SELVANAYAGAM</t>
  </si>
  <si>
    <t>SDC132001</t>
  </si>
  <si>
    <t>2006/ILP-P2/MAT/10055-DARMASEN</t>
  </si>
  <si>
    <t>SDC115450</t>
  </si>
  <si>
    <t>2006/ILP-P2/NGB/14609</t>
  </si>
  <si>
    <t>SDC119499</t>
  </si>
  <si>
    <t>2006ILP505GLE</t>
  </si>
  <si>
    <t>SDC125732</t>
  </si>
  <si>
    <t>2007-ILP-P2 CLN 2250</t>
  </si>
  <si>
    <t>SDC170742</t>
  </si>
  <si>
    <t>2017CLN00045</t>
  </si>
  <si>
    <t>SDC125684</t>
  </si>
  <si>
    <t>6B 362</t>
  </si>
  <si>
    <t>SDC118638</t>
  </si>
  <si>
    <t>DC138706</t>
  </si>
  <si>
    <t>SDC109985</t>
  </si>
  <si>
    <t>DC156081</t>
  </si>
  <si>
    <t>SDC107453</t>
  </si>
  <si>
    <t>DC162073</t>
  </si>
  <si>
    <t>SDC115880</t>
  </si>
  <si>
    <t>DC168485</t>
  </si>
  <si>
    <t>SDC110233</t>
  </si>
  <si>
    <t>DC27353</t>
  </si>
  <si>
    <t>SDC112646</t>
  </si>
  <si>
    <t>HN-BAC-1476-L089</t>
  </si>
  <si>
    <t>SDC113405</t>
  </si>
  <si>
    <t>HN-BAC-444-L030</t>
  </si>
  <si>
    <t>SDC113466</t>
  </si>
  <si>
    <t>HN-BAC-445-L030 - G.L.ANIL</t>
  </si>
  <si>
    <t>SDC113468</t>
  </si>
  <si>
    <t>HN-BAC-446-L030 - G.L.ANIL</t>
  </si>
  <si>
    <t>SDC116544</t>
  </si>
  <si>
    <t>HNBAC886L093 -U.K.D.S.SUSANTHA</t>
  </si>
  <si>
    <t>SDC109160</t>
  </si>
  <si>
    <t>HN-IL-24002-CLN</t>
  </si>
  <si>
    <t>SDC111464</t>
  </si>
  <si>
    <t>HN-IL-242(AP)</t>
  </si>
  <si>
    <t>SDC117928</t>
  </si>
  <si>
    <t>HN-IL-8900 KRG</t>
  </si>
  <si>
    <t>SDC119786</t>
  </si>
  <si>
    <t>K KATHIRAVEL</t>
  </si>
  <si>
    <t>SDC134454</t>
  </si>
  <si>
    <t>NEGOMBO2006/ILP-P2NGB/17170</t>
  </si>
  <si>
    <t>SDC128630</t>
  </si>
  <si>
    <t>P/N 2006/ILP/P2/CLS/16945</t>
  </si>
  <si>
    <t>SDC113170</t>
  </si>
  <si>
    <t>P/N HN1L24939</t>
  </si>
  <si>
    <t>SDC122616</t>
  </si>
  <si>
    <t>P/N HN-2474BAC-L078</t>
  </si>
  <si>
    <t>SDC119447</t>
  </si>
  <si>
    <t>P/N HN-BAC-1588-L084 / SOMARATHNE M H</t>
  </si>
  <si>
    <t>SDC107321</t>
  </si>
  <si>
    <t>P/N HNIL 18432 ANP</t>
  </si>
  <si>
    <t>SDC116405</t>
  </si>
  <si>
    <t>P/N HNIL-30676-T-570</t>
  </si>
  <si>
    <t>SDC117972</t>
  </si>
  <si>
    <t>P/NO.2007/ILP-P2/KRG/9801 H D T J PERERA</t>
  </si>
  <si>
    <t>SDC128077</t>
  </si>
  <si>
    <t>POL. NO.2007/ILP-D TRC/3018</t>
  </si>
  <si>
    <t>SDC128001</t>
  </si>
  <si>
    <t>POL.NO-2005/ILP-P2/TRC/18438</t>
  </si>
  <si>
    <t>SDC128038</t>
  </si>
  <si>
    <t>POL.NO-2007/ILP-D/TRC/844</t>
  </si>
  <si>
    <t>SDC127269</t>
  </si>
  <si>
    <t>POLICY 2004/ILP-P2/KDY/9486</t>
  </si>
  <si>
    <t>SDC124788</t>
  </si>
  <si>
    <t>PVA SUNIL 2006/ILPD/MAT/7943</t>
  </si>
  <si>
    <t>SDC119542</t>
  </si>
  <si>
    <t>S/O PAY</t>
  </si>
  <si>
    <t>SDC134481</t>
  </si>
  <si>
    <t>S/O PAY-2007/ILP-P2 NGB/2738</t>
  </si>
  <si>
    <t>SDC108526</t>
  </si>
  <si>
    <t>S/O PAY-2007/ILP-P2/N G B /13485</t>
  </si>
  <si>
    <t>SDC119784</t>
  </si>
  <si>
    <t>SO</t>
  </si>
  <si>
    <t>SDC129043</t>
  </si>
  <si>
    <t>SOPYT</t>
  </si>
  <si>
    <t>SDC160397</t>
  </si>
  <si>
    <t>M2</t>
  </si>
  <si>
    <t>SDC160449</t>
  </si>
  <si>
    <t>SDC139044</t>
  </si>
  <si>
    <t>IW SLIPS/CPU200717001048-010030285-S S M DEV</t>
  </si>
  <si>
    <t>SDC139045</t>
  </si>
  <si>
    <t>IW SLIPS/CPU200717001056-010037814-KIRIVANDA</t>
  </si>
  <si>
    <t>SDC161033</t>
  </si>
  <si>
    <t>SDC162699</t>
  </si>
  <si>
    <t>SDC161180</t>
  </si>
  <si>
    <t>SDC161661</t>
  </si>
  <si>
    <t>SDC160564</t>
  </si>
  <si>
    <t>SDC139042</t>
  </si>
  <si>
    <t>IW SLIPS/CPU200717001021-010190963-SAHIB S M</t>
  </si>
  <si>
    <t>SDC139036</t>
  </si>
  <si>
    <t>IW SLIPS/010196299-010196299-W L A C LIYANAG</t>
  </si>
  <si>
    <t>SDC139043</t>
  </si>
  <si>
    <t>IW SLIPS/CPU200717001037-010206327-SAMARATUN</t>
  </si>
  <si>
    <t>SDC139048</t>
  </si>
  <si>
    <t>IW SLIPS/CPU200717000967-010215416-HETTIARAC</t>
  </si>
  <si>
    <t>SDC139006</t>
  </si>
  <si>
    <t>IW SLIPS/00005877451-010258304-SAMARAKUMARI</t>
  </si>
  <si>
    <t>SDC161520</t>
  </si>
  <si>
    <t>SDC148168</t>
  </si>
  <si>
    <t>IW SLIPS/00006223372-010291267-JAYATHISSA BK</t>
  </si>
  <si>
    <t>SDC139040</t>
  </si>
  <si>
    <t>IW SLIPS/CPU200717001007-010296335-DHAMMIKA</t>
  </si>
  <si>
    <t>SDC161709</t>
  </si>
  <si>
    <t>SDC139046</t>
  </si>
  <si>
    <t>IW SLIPS/CPU200717001087-DLSK DISSANAYAK-DIS</t>
  </si>
  <si>
    <t>SDC139047</t>
  </si>
  <si>
    <t>IW SLIPS/CPU200717001088-KPMS DE SILVA 0-DIS</t>
  </si>
  <si>
    <t>SDC202342</t>
  </si>
  <si>
    <t>M3</t>
  </si>
  <si>
    <t>DC114861</t>
  </si>
  <si>
    <t>KL</t>
  </si>
  <si>
    <t>SDC190943</t>
  </si>
  <si>
    <t>SDC123814</t>
  </si>
  <si>
    <t>SDC123928</t>
  </si>
  <si>
    <t>DC100673</t>
  </si>
  <si>
    <t>SDC160917</t>
  </si>
  <si>
    <t>SDC133509</t>
  </si>
  <si>
    <t>010148291 W A I S WIJESINGHE</t>
  </si>
  <si>
    <t>SDC111683</t>
  </si>
  <si>
    <t>2005/ILP-P2/NGB/3965 A.M.C.T.ALAGIYAWANNA</t>
  </si>
  <si>
    <t>SDC123190</t>
  </si>
  <si>
    <t>6B360</t>
  </si>
  <si>
    <t>SDC115934</t>
  </si>
  <si>
    <t>DC168487</t>
  </si>
  <si>
    <t>SDC122436</t>
  </si>
  <si>
    <t>HN-IL-24102(NGB)(E-252)</t>
  </si>
  <si>
    <t>SDC122502</t>
  </si>
  <si>
    <t>HN-IL-24103(NGB)(T-610)</t>
  </si>
  <si>
    <t>SDC139049</t>
  </si>
  <si>
    <t>IW SLIPS/CPU200717000969-010209231-MALANI P</t>
  </si>
  <si>
    <t>M1</t>
  </si>
  <si>
    <t>SDC139041</t>
  </si>
  <si>
    <t>IW SLIPS/CPU200717001019-REF 010146894-WIJES</t>
  </si>
  <si>
    <t>SDC135620</t>
  </si>
  <si>
    <t>P.N. 2006/1LP-P2/MRG/1196</t>
  </si>
  <si>
    <t>SDC115899</t>
  </si>
  <si>
    <t>P/N. 010202206</t>
  </si>
  <si>
    <t>SDC129824</t>
  </si>
  <si>
    <t>S/O S D WIJENAYAKA 010161395</t>
  </si>
  <si>
    <t>SDC714571</t>
  </si>
  <si>
    <t>00583348/7010/032/11-07-2017</t>
  </si>
  <si>
    <t>SDC624360</t>
  </si>
  <si>
    <t>00532952/7056/044/20-07-2017</t>
  </si>
  <si>
    <t>SDC208186</t>
  </si>
  <si>
    <t>00583349/7010/032/19-07-2017</t>
  </si>
  <si>
    <t>SDC64299</t>
  </si>
  <si>
    <t>00517884/7056/056/08-07-2017</t>
  </si>
  <si>
    <t>SDC430445</t>
  </si>
  <si>
    <t>SERIAL</t>
  </si>
  <si>
    <t>TRANSACTION_CODE</t>
  </si>
  <si>
    <t>VOUCHER_DATE</t>
  </si>
  <si>
    <t>PAYMENT_MODE</t>
  </si>
  <si>
    <t>NARRATION</t>
  </si>
  <si>
    <t>POLICY_NUMBER</t>
  </si>
  <si>
    <t>AMOUNT</t>
  </si>
  <si>
    <t>CASH_ACCOUNT</t>
  </si>
  <si>
    <t>POLICY_BRANCH</t>
  </si>
  <si>
    <t>PAYING_PARTY</t>
  </si>
  <si>
    <t>INSTRUMENT_NUMBER</t>
  </si>
  <si>
    <t>INSTRUMENT_DATE</t>
  </si>
  <si>
    <t>STATUS</t>
  </si>
  <si>
    <t>ROWID</t>
  </si>
  <si>
    <t>L1000</t>
  </si>
  <si>
    <t>21/07/2017</t>
  </si>
  <si>
    <t>B</t>
  </si>
  <si>
    <t>CF20000046</t>
  </si>
  <si>
    <t>HDO</t>
  </si>
  <si>
    <t>20/07/2017</t>
  </si>
  <si>
    <t>CF20000052</t>
  </si>
  <si>
    <t>CF20000051</t>
  </si>
  <si>
    <t>010155805</t>
  </si>
  <si>
    <t>030194605</t>
  </si>
  <si>
    <t>030200350</t>
  </si>
  <si>
    <t>030253025</t>
  </si>
  <si>
    <t>030298417</t>
  </si>
  <si>
    <t>CF20000005</t>
  </si>
  <si>
    <t>CF20000008</t>
  </si>
  <si>
    <t>CF20000006</t>
  </si>
  <si>
    <t>CF20000002</t>
  </si>
  <si>
    <t>24/07/2017</t>
  </si>
  <si>
    <t>SDC127312;RENEWAL</t>
  </si>
  <si>
    <t>SDC186280;RENEWAL</t>
  </si>
  <si>
    <t>SDC109024;RENEWAL</t>
  </si>
  <si>
    <t>SDC113352;RENEWAL</t>
  </si>
  <si>
    <t>SDC105959;RENEWAL</t>
  </si>
  <si>
    <t>SDC132296;RENEWAL</t>
  </si>
  <si>
    <t>SDC110055;RENEWAL</t>
  </si>
  <si>
    <t>SDC137040;RENEWAL</t>
  </si>
  <si>
    <t>SDC209568;RENEWAL</t>
  </si>
  <si>
    <t>SDC137152;RENEWAL</t>
  </si>
  <si>
    <t>SDC176406;RENEWAL</t>
  </si>
  <si>
    <t>SDC160835;RENEWAL</t>
  </si>
  <si>
    <t>SDC189749;RENEWAL</t>
  </si>
  <si>
    <t>SDC110010;RENEWAL</t>
  </si>
  <si>
    <t>SDC115670;RENEWAL</t>
  </si>
  <si>
    <t>SDC214317;RENEWAL</t>
  </si>
  <si>
    <t>SDC123167;RENEWAL</t>
  </si>
  <si>
    <t>SDC180465;RENEWAL</t>
  </si>
  <si>
    <t>SDC203596;RENEWAL</t>
  </si>
  <si>
    <t>SDC179016;RENEWAL</t>
  </si>
  <si>
    <t>SDC206933;RENEWAL</t>
  </si>
  <si>
    <t>SDC167747;RENEWAL</t>
  </si>
  <si>
    <t>SDC178803;RENEWAL</t>
  </si>
  <si>
    <t>SDC213542;RENEWAL</t>
  </si>
  <si>
    <t>SDC128371;RENEWAL</t>
  </si>
  <si>
    <t>SDC198739;RENEWAL</t>
  </si>
  <si>
    <t>SDC200519;RENEWAL</t>
  </si>
  <si>
    <t>SDC213773;RENEWAL</t>
  </si>
  <si>
    <t>SDC169889;RENEWAL</t>
  </si>
  <si>
    <t>SDC168844;RENEWAL</t>
  </si>
  <si>
    <t>SDC131065;RENEWAL</t>
  </si>
  <si>
    <t>SDC180705;RENEWAL</t>
  </si>
  <si>
    <t>SDC168864;RENEWAL</t>
  </si>
  <si>
    <t>SDC115502;RENEWAL</t>
  </si>
  <si>
    <t>SDC198052;RENEWAL</t>
  </si>
  <si>
    <t>SDC125128;RENEWAL</t>
  </si>
  <si>
    <t>SDC191977;RENEWAL</t>
  </si>
  <si>
    <t>SDC207185;RENEWAL</t>
  </si>
  <si>
    <t>SDC113169;RENEWAL</t>
  </si>
  <si>
    <t>SDC203116;RENEWAL</t>
  </si>
  <si>
    <t>SDC195505;RENEWAL</t>
  </si>
  <si>
    <t>SDC186764;RENEWAL</t>
  </si>
  <si>
    <t>SDC128355;RENEWAL</t>
  </si>
  <si>
    <t>SDC206423;RENEWAL</t>
  </si>
  <si>
    <t>SDC188901;RENEWAL</t>
  </si>
  <si>
    <t>SDC174599;RENEWAL</t>
  </si>
  <si>
    <t>SDC183939;RENEWAL</t>
  </si>
  <si>
    <t>SDC184075;RENEWAL</t>
  </si>
  <si>
    <t>SDC115672;RENEWAL</t>
  </si>
  <si>
    <t>SDC205396;RENEWAL</t>
  </si>
  <si>
    <t>SDC105602;RENEWAL</t>
  </si>
  <si>
    <t>SDC210913;RENEWAL</t>
  </si>
  <si>
    <t>SDC115604;RENEWAL</t>
  </si>
  <si>
    <t>SDC115555;RENEWAL</t>
  </si>
  <si>
    <t>SDC206198;RENEWAL</t>
  </si>
  <si>
    <t>SDC168695;RENEWAL</t>
  </si>
  <si>
    <t>SDC168127;RENEWAL</t>
  </si>
  <si>
    <t>SDC113612;RENEWAL</t>
  </si>
  <si>
    <t>SDC132004;RENEWAL</t>
  </si>
  <si>
    <t>SDC207140;RENEWAL</t>
  </si>
  <si>
    <t>SDC161613;RENEWAL</t>
  </si>
  <si>
    <t>SDC189592;RENEWAL</t>
  </si>
  <si>
    <t>SDC107137;RENEWAL</t>
  </si>
  <si>
    <t>SDC105416;RENEWAL</t>
  </si>
  <si>
    <t>SDC206269;RENEWAL</t>
  </si>
  <si>
    <t>SDC112438;RENEWAL</t>
  </si>
  <si>
    <t>SDC113561;RENEWAL</t>
  </si>
  <si>
    <t>SDC193938;RENEWAL</t>
  </si>
  <si>
    <t>SDC113274;RENEWAL</t>
  </si>
  <si>
    <t>SDC112994;RENEWAL</t>
  </si>
  <si>
    <t>SDC180105;RENEWAL</t>
  </si>
  <si>
    <t>SDC166013;RENEWAL</t>
  </si>
  <si>
    <t>SDC178496;RENEWAL</t>
  </si>
  <si>
    <t>SDC211375;RENEWAL</t>
  </si>
  <si>
    <t>SDC113918;RENEWAL</t>
  </si>
  <si>
    <t>SDC115624;RENEWAL</t>
  </si>
  <si>
    <t>SDC115193;RENEWAL</t>
  </si>
  <si>
    <t>SDC180136;RENEWAL</t>
  </si>
  <si>
    <t>SDC192864;RENEWAL</t>
  </si>
  <si>
    <t>SDC200392;RENEWAL</t>
  </si>
  <si>
    <t>SDC177392;RENEWAL</t>
  </si>
  <si>
    <t>SDC162481;RENEWAL</t>
  </si>
  <si>
    <t>SDC134565;RENEWAL</t>
  </si>
  <si>
    <t>SDC168399;RENEWAL</t>
  </si>
  <si>
    <t>SDC207036;RENEWAL</t>
  </si>
  <si>
    <t>SDC123323;RENEWAL</t>
  </si>
  <si>
    <t>SDC195850;RENEWAL</t>
  </si>
  <si>
    <t>SDC107690;RENEWAL</t>
  </si>
  <si>
    <t>SDC204146;RENEWAL</t>
  </si>
  <si>
    <t>SDC204956;RENEWAL</t>
  </si>
  <si>
    <t>SDC113793;RENEWAL</t>
  </si>
  <si>
    <t>SDC191246;RENEWAL</t>
  </si>
  <si>
    <t>SDC199824;RENEWAL</t>
  </si>
  <si>
    <t>SDC177991;RENEWAL</t>
  </si>
  <si>
    <t>SDC136910;RENEWAL</t>
  </si>
  <si>
    <t>SDC170654;RENEWAL</t>
  </si>
  <si>
    <t>SDC182275;RENEWAL</t>
  </si>
  <si>
    <t>SDC107704;RENEWAL</t>
  </si>
  <si>
    <t>SDC109629;RENEWAL</t>
  </si>
  <si>
    <t>SDC190365;RENEWAL</t>
  </si>
  <si>
    <t>SDC203285;RENEWAL</t>
  </si>
  <si>
    <t>SDC203380;RENEWAL</t>
  </si>
  <si>
    <t>SDC164588;RENEWAL</t>
  </si>
  <si>
    <t>SDC172331;RENEWAL</t>
  </si>
  <si>
    <t>SDC178537;RENEWAL</t>
  </si>
  <si>
    <t>SDC123309;RENEWAL</t>
  </si>
  <si>
    <t>SDC122239;RENEWAL</t>
  </si>
  <si>
    <t>SDC211433;RENEWAL</t>
  </si>
  <si>
    <t>SDC171355;RENEWAL</t>
  </si>
  <si>
    <t>SDC190690;RENEWAL</t>
  </si>
  <si>
    <t>SDC170848;RENEWAL</t>
  </si>
  <si>
    <t>SDC131339;RENEWAL</t>
  </si>
  <si>
    <t>SDC169210;RENEWAL</t>
  </si>
  <si>
    <t>SDC200624;RENEWAL</t>
  </si>
  <si>
    <t>SDC131494;RENEWAL</t>
  </si>
  <si>
    <t>SDC131771;RENEWAL</t>
  </si>
  <si>
    <t>SDC131628;RENEWAL</t>
  </si>
  <si>
    <t>SDC132326;RENEWAL</t>
  </si>
  <si>
    <t>SDC161633;RENEWAL</t>
  </si>
  <si>
    <t>SDC181279;RENEWAL</t>
  </si>
  <si>
    <t>SDC132401;RENEWAL</t>
  </si>
  <si>
    <t>SDC132643;RENEWAL</t>
  </si>
  <si>
    <t>SDC132524;RENEWAL</t>
  </si>
  <si>
    <t>SDC132443;RENEWAL</t>
  </si>
  <si>
    <t>SDC132685;RENEWAL</t>
  </si>
  <si>
    <t>SDC179912;RENEWAL</t>
  </si>
  <si>
    <t>SDC129981;RENEWAL</t>
  </si>
  <si>
    <t>SDC119453;RENEWAL</t>
  </si>
  <si>
    <t>SDC114216;RENEWAL</t>
  </si>
  <si>
    <t>DC143499;RENEWAL</t>
  </si>
  <si>
    <t>SDC192207;RENEWAL</t>
  </si>
  <si>
    <t>SDC113125;RENEWAL</t>
  </si>
  <si>
    <t>SDC133117;RENEWAL</t>
  </si>
  <si>
    <t>SDC108947;RENEWAL</t>
  </si>
  <si>
    <t>SDC133716;RENEWAL</t>
  </si>
  <si>
    <t>SDC105896;RENEWAL</t>
  </si>
  <si>
    <t>SDC134469;RENEWAL</t>
  </si>
  <si>
    <t>SDC134204;RENEWAL</t>
  </si>
  <si>
    <t>SDC134384;RENEWAL</t>
  </si>
  <si>
    <t>SDC134067;RENEWAL</t>
  </si>
  <si>
    <t>SDC196818;RENEWAL</t>
  </si>
  <si>
    <t>SDC128219;RENEWAL</t>
  </si>
  <si>
    <t>SDC135141;RENEWAL</t>
  </si>
  <si>
    <t>SDC135470;RENEWAL</t>
  </si>
  <si>
    <t>SDC135745;RENEWAL</t>
  </si>
  <si>
    <t>SDC135841;RENEWAL</t>
  </si>
  <si>
    <t>SDC133594;RENEWAL</t>
  </si>
  <si>
    <t>SDC135652;RENEWAL</t>
  </si>
  <si>
    <t>SDC135690;RENEWAL</t>
  </si>
  <si>
    <t>SDC135628;RENEWAL</t>
  </si>
  <si>
    <t>SDC135089;RENEWAL</t>
  </si>
  <si>
    <t>SDC134852;RENEWAL</t>
  </si>
  <si>
    <t>SDC134929;RENEWAL</t>
  </si>
  <si>
    <t>SDC124104;RENEWAL</t>
  </si>
  <si>
    <t>SDC206962;RENEWAL</t>
  </si>
  <si>
    <t>SDC133209;RENEWAL</t>
  </si>
  <si>
    <t>SDC127827;RENEWAL</t>
  </si>
  <si>
    <t>SDC135796;RENEWAL</t>
  </si>
  <si>
    <t>SDC200584;RENEWAL</t>
  </si>
  <si>
    <t>SDC169245;RENEWAL</t>
  </si>
  <si>
    <t>SDC136055;RENEWAL</t>
  </si>
  <si>
    <t>SDC133300;RENEWAL</t>
  </si>
  <si>
    <t>SDC199143;RENEWAL</t>
  </si>
  <si>
    <t>SDC185049;RENEWAL</t>
  </si>
  <si>
    <t>SDC115962;RENEWAL</t>
  </si>
  <si>
    <t>SDC162602;RENEWAL</t>
  </si>
  <si>
    <t>SDC112263;RENEWAL</t>
  </si>
  <si>
    <t>SDC205086;RENEWAL</t>
  </si>
  <si>
    <t>SDC206365;RENEWAL</t>
  </si>
  <si>
    <t>SDC175075;RENEWAL</t>
  </si>
  <si>
    <t>SDC111471;RENEWAL</t>
  </si>
  <si>
    <t>SDC124301;RENEWAL</t>
  </si>
  <si>
    <t>SDC109384;RENEWAL</t>
  </si>
  <si>
    <t>SDC204837;RENEWAL</t>
  </si>
  <si>
    <t>SDC109247;RENEWAL</t>
  </si>
  <si>
    <t>SDC123749;RENEWAL</t>
  </si>
  <si>
    <t>SDC108790;RENEWAL</t>
  </si>
  <si>
    <t>SDC106483;RENEWAL</t>
  </si>
  <si>
    <t>SDC106403;RENEWAL</t>
  </si>
  <si>
    <t>SDC113116;RENEWAL</t>
  </si>
  <si>
    <t>SDC111724;RENEWAL</t>
  </si>
  <si>
    <t>SDC132986;RENEWAL</t>
  </si>
  <si>
    <t>SDC113464;RENEWAL</t>
  </si>
  <si>
    <t>SDC109402;RENEWAL</t>
  </si>
  <si>
    <t>SDC109300;RENEWAL</t>
  </si>
  <si>
    <t>SDC137014;RENEWAL</t>
  </si>
  <si>
    <t>SDC137015;RENEWAL</t>
  </si>
  <si>
    <t>SDC106295;RENEWAL</t>
  </si>
  <si>
    <t>SDC170979;RENEWAL</t>
  </si>
  <si>
    <t>SDC111891;RENEWAL</t>
  </si>
  <si>
    <t>SDC111730;RENEWAL</t>
  </si>
  <si>
    <t>SDC133036;RENEWAL</t>
  </si>
  <si>
    <t>SDC116309;RENEWAL</t>
  </si>
  <si>
    <t>SDC109301;RENEWAL</t>
  </si>
  <si>
    <t>SDC105501;RENEWAL</t>
  </si>
  <si>
    <t>SDC113334;RENEWAL</t>
  </si>
  <si>
    <t>SDC122556;RENEWAL</t>
  </si>
  <si>
    <t>SDC112440;RENEWAL</t>
  </si>
  <si>
    <t>SDC123518;RENEWAL</t>
  </si>
  <si>
    <t>SDC122748;RENEWAL</t>
  </si>
  <si>
    <t>SDC106811;RENEWAL</t>
  </si>
  <si>
    <t>SDC119280;RENEWAL</t>
  </si>
  <si>
    <t>SDC105379;RENEWAL</t>
  </si>
  <si>
    <t>SDC125301;RENEWAL</t>
  </si>
  <si>
    <t>SDC132512;RENEWAL</t>
  </si>
  <si>
    <t>SDC132470;RENEWAL</t>
  </si>
  <si>
    <t>SDC125869;RENEWAL</t>
  </si>
  <si>
    <t>SDC121960;RENEWAL</t>
  </si>
  <si>
    <t>SDC109478;RENEWAL</t>
  </si>
  <si>
    <t>SDC217760;RENEWAL</t>
  </si>
  <si>
    <t>SDC106588;RENEWAL</t>
  </si>
  <si>
    <t>SDC106747;RENEWAL</t>
  </si>
  <si>
    <t>SDC106667;RENEWAL</t>
  </si>
  <si>
    <t>SDC119567;RENEWAL</t>
  </si>
  <si>
    <t>SDC121071;RENEWAL</t>
  </si>
  <si>
    <t>SDC107172;RENEWAL</t>
  </si>
  <si>
    <t>SDC129537;RENEWAL</t>
  </si>
  <si>
    <t>SDC128384;RENEWAL</t>
  </si>
  <si>
    <t>SDC125245;RENEWAL</t>
  </si>
  <si>
    <t>SDC123388;RENEWAL</t>
  </si>
  <si>
    <t>SDC119502;RENEWAL</t>
  </si>
  <si>
    <t>SDC115846;RENEWAL</t>
  </si>
  <si>
    <t>SDC129939;RENEWAL</t>
  </si>
  <si>
    <t>SDC119599;RENEWAL</t>
  </si>
  <si>
    <t>SDC171618;RENEWAL</t>
  </si>
  <si>
    <t>SDC131838;RENEWAL</t>
  </si>
  <si>
    <t>SDC105994;RENEWAL</t>
  </si>
  <si>
    <t>SDC124978;RENEWAL</t>
  </si>
  <si>
    <t>SDC124285;RENEWAL</t>
  </si>
  <si>
    <t>SDC210497;RENEWAL</t>
  </si>
  <si>
    <t>SDC123237;RENEWAL</t>
  </si>
  <si>
    <t>SDC125495;RENEWAL</t>
  </si>
  <si>
    <t>SDC110272;RENEWAL</t>
  </si>
  <si>
    <t>SDC105632;RENEWAL</t>
  </si>
  <si>
    <t>SDC133919;RENEWAL</t>
  </si>
  <si>
    <t>SDC116503;RENEWAL</t>
  </si>
  <si>
    <t>SDC171293;RENEWAL</t>
  </si>
  <si>
    <t>SDC135421;RENEWAL</t>
  </si>
  <si>
    <t>SDC217314;RENEWAL</t>
  </si>
  <si>
    <t>SDC210328;RENEWAL</t>
  </si>
  <si>
    <t>SDC106559;RENEWAL</t>
  </si>
  <si>
    <t>SDC111367;RENEWAL</t>
  </si>
  <si>
    <t>SDC115789;RENEWAL</t>
  </si>
  <si>
    <t>SDC121336;RENEWAL</t>
  </si>
  <si>
    <t>SDC121333;RENEWAL</t>
  </si>
  <si>
    <t>SDC125490;RENEWAL</t>
  </si>
  <si>
    <t>SDC125588;RENEWAL</t>
  </si>
  <si>
    <t>SDC127640;RENEWAL</t>
  </si>
  <si>
    <t>SDC130936;RENEWAL</t>
  </si>
  <si>
    <t>SDC129142;RENEWAL</t>
  </si>
  <si>
    <t>SDC135667;RENEWAL</t>
  </si>
  <si>
    <t>SDC105272;RENEWAL</t>
  </si>
  <si>
    <t>SDC162926;RENEWAL</t>
  </si>
  <si>
    <t>SDC131077;RENEWAL</t>
  </si>
  <si>
    <t>SDC120696;RENEWAL</t>
  </si>
  <si>
    <t>SDC111743;RENEWAL</t>
  </si>
  <si>
    <t>SDC120660;RENEWAL</t>
  </si>
  <si>
    <t>SDC187517;RENEWAL</t>
  </si>
  <si>
    <t>SDC187908;RENEWAL</t>
  </si>
  <si>
    <t>SDC131441;RENEWAL</t>
  </si>
  <si>
    <t>SDC110702;RENEWAL</t>
  </si>
  <si>
    <t>SDC122819;RENEWAL</t>
  </si>
  <si>
    <t>SDC163041;RENEWAL</t>
  </si>
  <si>
    <t>SDC124650;RENEWAL</t>
  </si>
  <si>
    <t>SDC178773;RENEWAL</t>
  </si>
  <si>
    <t>SDC121971;RENEWAL</t>
  </si>
  <si>
    <t>SDC116530;RENEWAL</t>
  </si>
  <si>
    <t>SDC116472;RENEWAL</t>
  </si>
  <si>
    <t>SDC125240;RENEWAL</t>
  </si>
  <si>
    <t>SDC110413;RENEWAL</t>
  </si>
  <si>
    <t>SDC123592;RENEWAL</t>
  </si>
  <si>
    <t>SDC130089;RENEWAL</t>
  </si>
  <si>
    <t>SDC124041;RENEWAL</t>
  </si>
  <si>
    <t>SDC125543;RENEWAL</t>
  </si>
  <si>
    <t>SDC124748;RENEWAL</t>
  </si>
  <si>
    <t>SDC132487;RENEWAL</t>
  </si>
  <si>
    <t>SDC109479;RENEWAL</t>
  </si>
  <si>
    <t>SDC131523;RENEWAL</t>
  </si>
  <si>
    <t>SDC131491;RENEWAL</t>
  </si>
  <si>
    <t>SDC130733;RENEWAL</t>
  </si>
  <si>
    <t>SDC115631;RENEWAL</t>
  </si>
  <si>
    <t>SDC130692;RENEWAL</t>
  </si>
  <si>
    <t>SDC112919;RENEWAL</t>
  </si>
  <si>
    <t>SDC110204;RENEWAL</t>
  </si>
  <si>
    <t>SDC110433;RENEWAL</t>
  </si>
  <si>
    <t>SDC130017;RENEWAL</t>
  </si>
  <si>
    <t>SDC203568;RENEWAL</t>
  </si>
  <si>
    <t>SDC178037;RENEWAL</t>
  </si>
  <si>
    <t>SDC124236;RENEWAL</t>
  </si>
  <si>
    <t>SDC108380;RENEWAL</t>
  </si>
  <si>
    <t>SDC124164;RENEWAL</t>
  </si>
  <si>
    <t>SDC127904;RENEWAL</t>
  </si>
  <si>
    <t>SDC113408;RENEWAL</t>
  </si>
  <si>
    <t>SDC122421;RENEWAL</t>
  </si>
  <si>
    <t>SDC127866;RENEWAL</t>
  </si>
  <si>
    <t>SDC135190;RENEWAL</t>
  </si>
  <si>
    <t>SDC122487;RENEWAL</t>
  </si>
  <si>
    <t>SDC134324;RENEWAL</t>
  </si>
  <si>
    <t>SDC115559;RENEWAL</t>
  </si>
  <si>
    <t>SDC109035;RENEWAL</t>
  </si>
  <si>
    <t>SDC106045;RENEWAL</t>
  </si>
  <si>
    <t>DC117601;RENEWAL</t>
  </si>
  <si>
    <t>SDC167940;RENEWAL</t>
  </si>
  <si>
    <t>SDC135895;RENEWAL</t>
  </si>
  <si>
    <t>SDC105152;RENEWAL</t>
  </si>
  <si>
    <t>SDC125090;RENEWAL</t>
  </si>
  <si>
    <t>SDC125042;RENEWAL</t>
  </si>
  <si>
    <t>SDC134752;RENEWAL</t>
  </si>
  <si>
    <t>SDC121872;RENEWAL</t>
  </si>
  <si>
    <t>SDC136193;RENEWAL</t>
  </si>
  <si>
    <t>SDC134023;RENEWAL</t>
  </si>
  <si>
    <t>SDC222140;RENEWAL</t>
  </si>
  <si>
    <t>DC93025;RENEWAL</t>
  </si>
  <si>
    <t>SDC199403;RENEWAL</t>
  </si>
  <si>
    <t>SDC211603;RENEWAL</t>
  </si>
  <si>
    <t>SDC122492;RENEWAL</t>
  </si>
  <si>
    <t>SDC119279;RENEWAL</t>
  </si>
  <si>
    <t>SDC113439;RENEWAL</t>
  </si>
  <si>
    <t>SDC115286;RENEWAL</t>
  </si>
  <si>
    <t>SDC115563;RENEWAL</t>
  </si>
  <si>
    <t>SDC123644;RENEWAL</t>
  </si>
  <si>
    <t>SDC126326;RENEWAL</t>
  </si>
  <si>
    <t>SDC125133;RENEWAL</t>
  </si>
  <si>
    <t>SDC132001;RENEWAL</t>
  </si>
  <si>
    <t>SDC115450;RENEWAL</t>
  </si>
  <si>
    <t>SDC119499;RENEWAL</t>
  </si>
  <si>
    <t>SDC125732;RENEWAL</t>
  </si>
  <si>
    <t>SDC170742;RENEWAL</t>
  </si>
  <si>
    <t>SDC125684;RENEWAL</t>
  </si>
  <si>
    <t>SDC118638;RENEWAL</t>
  </si>
  <si>
    <t>SDC109985;RENEWAL</t>
  </si>
  <si>
    <t>SDC107453;RENEWAL</t>
  </si>
  <si>
    <t>SDC115880;RENEWAL</t>
  </si>
  <si>
    <t>SDC110233;RENEWAL</t>
  </si>
  <si>
    <t>SDC112646;RENEWAL</t>
  </si>
  <si>
    <t>SDC113405;RENEWAL</t>
  </si>
  <si>
    <t>SDC113466;RENEWAL</t>
  </si>
  <si>
    <t>SDC113468;RENEWAL</t>
  </si>
  <si>
    <t>SDC116544;RENEWAL</t>
  </si>
  <si>
    <t>SDC109160;RENEWAL</t>
  </si>
  <si>
    <t>SDC111464;RENEWAL</t>
  </si>
  <si>
    <t>SDC117928;RENEWAL</t>
  </si>
  <si>
    <t>SDC119786;RENEWAL</t>
  </si>
  <si>
    <t>SDC134454;RENEWAL</t>
  </si>
  <si>
    <t>SDC128630;RENEWAL</t>
  </si>
  <si>
    <t>SDC113170;RENEWAL</t>
  </si>
  <si>
    <t>SDC122616;RENEWAL</t>
  </si>
  <si>
    <t>SDC119447;RENEWAL</t>
  </si>
  <si>
    <t>SDC107321;RENEWAL</t>
  </si>
  <si>
    <t>SDC116405;RENEWAL</t>
  </si>
  <si>
    <t>SDC117972;RENEWAL</t>
  </si>
  <si>
    <t>SDC128077;RENEWAL</t>
  </si>
  <si>
    <t>SDC128001;RENEWAL</t>
  </si>
  <si>
    <t>SDC128038;RENEWAL</t>
  </si>
  <si>
    <t>SDC127269;RENEWAL</t>
  </si>
  <si>
    <t>SDC124788;RENEWAL</t>
  </si>
  <si>
    <t>SDC119542;RENEWAL</t>
  </si>
  <si>
    <t>SDC134481;RENEWAL</t>
  </si>
  <si>
    <t>SDC108526;RENEWAL</t>
  </si>
  <si>
    <t>SDC119784;RENEWAL</t>
  </si>
  <si>
    <t>SDC129043;RENEWAL</t>
  </si>
  <si>
    <t>SDC160397;RENEWAL</t>
  </si>
  <si>
    <t>SDC160449;RENEWAL</t>
  </si>
  <si>
    <t>SDC139044;RENEWAL</t>
  </si>
  <si>
    <t>SDC139045;RENEWAL</t>
  </si>
  <si>
    <t>SDC161033;RENEWAL</t>
  </si>
  <si>
    <t>SDC162699;RENEWAL</t>
  </si>
  <si>
    <t>SDC161180;RENEWAL</t>
  </si>
  <si>
    <t>SDC161661;RENEWAL</t>
  </si>
  <si>
    <t>SDC160564;RENEWAL</t>
  </si>
  <si>
    <t>SDC139042;RENEWAL</t>
  </si>
  <si>
    <t>SDC139036;RENEWAL</t>
  </si>
  <si>
    <t>SDC139043;RENEWAL</t>
  </si>
  <si>
    <t>SDC139048;RENEWAL</t>
  </si>
  <si>
    <t>SDC139006;RENEWAL</t>
  </si>
  <si>
    <t>SDC161520;RENEWAL</t>
  </si>
  <si>
    <t>SDC148168;RENEWAL</t>
  </si>
  <si>
    <t>SDC139040;RENEWAL</t>
  </si>
  <si>
    <t>SDC161709;RENEWAL</t>
  </si>
  <si>
    <t>SDC139046;RENEWAL</t>
  </si>
  <si>
    <t>SDC139047;RENEWAL</t>
  </si>
  <si>
    <t>SDC202342;RENEWAL</t>
  </si>
  <si>
    <t>DC114861;RENEWAL</t>
  </si>
  <si>
    <t>SDC190943;RENEWAL</t>
  </si>
  <si>
    <t>SDC123814;RENEWAL</t>
  </si>
  <si>
    <t>SDC123928;RENEWAL</t>
  </si>
  <si>
    <t>DC100673;RENEWAL</t>
  </si>
  <si>
    <t>SDC160917;RENEWAL</t>
  </si>
  <si>
    <t>SDC133509;RENEWAL</t>
  </si>
  <si>
    <t>SDC111683;RENEWAL</t>
  </si>
  <si>
    <t>SDC123190;RENEWAL</t>
  </si>
  <si>
    <t>SDC115934;RENEWAL</t>
  </si>
  <si>
    <t>SDC122436;RENEWAL</t>
  </si>
  <si>
    <t>SDC122502;RENEWAL</t>
  </si>
  <si>
    <t>SDC139049;RENEWAL</t>
  </si>
  <si>
    <t>SDC139041;RENEWAL</t>
  </si>
  <si>
    <t>SDC135620;RENEWAL</t>
  </si>
  <si>
    <t>SDC115899;RENEWAL</t>
  </si>
  <si>
    <t>SDC129824;RENEWAL</t>
  </si>
  <si>
    <t>SDC714571;RENEWAL</t>
  </si>
  <si>
    <t>SDC624360;RENEWAL</t>
  </si>
  <si>
    <t>SDC208186;RENEWAL</t>
  </si>
  <si>
    <t>SDC64299;RENEWAL</t>
  </si>
  <si>
    <t>SDC430445;RENEWAL</t>
  </si>
  <si>
    <t>22/06/2017</t>
  </si>
  <si>
    <t>12/07/2017</t>
  </si>
  <si>
    <t>11/07/2017</t>
  </si>
  <si>
    <t>010000179</t>
  </si>
  <si>
    <t>010003794</t>
  </si>
  <si>
    <t>010007097</t>
  </si>
  <si>
    <t>010013235</t>
  </si>
  <si>
    <t>010014359</t>
  </si>
  <si>
    <t>010015333</t>
  </si>
  <si>
    <t>010017421</t>
  </si>
  <si>
    <t>010017877</t>
  </si>
  <si>
    <t>010021290</t>
  </si>
  <si>
    <t>010030043</t>
  </si>
  <si>
    <t>010033169</t>
  </si>
  <si>
    <t>010036408</t>
  </si>
  <si>
    <t>010038460</t>
  </si>
  <si>
    <t>010042680</t>
  </si>
  <si>
    <t>010049109</t>
  </si>
  <si>
    <t>010050105</t>
  </si>
  <si>
    <t>010051643</t>
  </si>
  <si>
    <t>010056478</t>
  </si>
  <si>
    <t>010059957</t>
  </si>
  <si>
    <t>010060201</t>
  </si>
  <si>
    <t>010062144</t>
  </si>
  <si>
    <t>010062704</t>
  </si>
  <si>
    <t>010064992</t>
  </si>
  <si>
    <t>010068251</t>
  </si>
  <si>
    <t>010068449</t>
  </si>
  <si>
    <t>010070345</t>
  </si>
  <si>
    <t>010070374</t>
  </si>
  <si>
    <t>010073042</t>
  </si>
  <si>
    <t>010078334</t>
  </si>
  <si>
    <t>010078401</t>
  </si>
  <si>
    <t>010079249</t>
  </si>
  <si>
    <t>010081453</t>
  </si>
  <si>
    <t>010102216</t>
  </si>
  <si>
    <t>010102296</t>
  </si>
  <si>
    <t>010106429</t>
  </si>
  <si>
    <t>010107752</t>
  </si>
  <si>
    <t>010107824</t>
  </si>
  <si>
    <t>010115649</t>
  </si>
  <si>
    <t>010118936</t>
  </si>
  <si>
    <t>010121240</t>
  </si>
  <si>
    <t>010121285</t>
  </si>
  <si>
    <t>010121320</t>
  </si>
  <si>
    <t>010121359</t>
  </si>
  <si>
    <t>010121782</t>
  </si>
  <si>
    <t>010121924</t>
  </si>
  <si>
    <t>010122553</t>
  </si>
  <si>
    <t>010122597</t>
  </si>
  <si>
    <t>010122642</t>
  </si>
  <si>
    <t>010125329</t>
  </si>
  <si>
    <t>010128586</t>
  </si>
  <si>
    <t>010129296</t>
  </si>
  <si>
    <t>010129463</t>
  </si>
  <si>
    <t>010129888</t>
  </si>
  <si>
    <t>010129889</t>
  </si>
  <si>
    <t>010130287</t>
  </si>
  <si>
    <t>010130425</t>
  </si>
  <si>
    <t>010131906</t>
  </si>
  <si>
    <t>010133711</t>
  </si>
  <si>
    <t>010135846</t>
  </si>
  <si>
    <t>010136442</t>
  </si>
  <si>
    <t>010136511</t>
  </si>
  <si>
    <t>010136924</t>
  </si>
  <si>
    <t>010136960</t>
  </si>
  <si>
    <t>010138130</t>
  </si>
  <si>
    <t>010140154</t>
  </si>
  <si>
    <t>010144858</t>
  </si>
  <si>
    <t>010145100</t>
  </si>
  <si>
    <t>010145833</t>
  </si>
  <si>
    <t>010145875</t>
  </si>
  <si>
    <t>010146180</t>
  </si>
  <si>
    <t>010148937</t>
  </si>
  <si>
    <t>010149455</t>
  </si>
  <si>
    <t>010154742</t>
  </si>
  <si>
    <t>010157710</t>
  </si>
  <si>
    <t>010159720</t>
  </si>
  <si>
    <t>010161088</t>
  </si>
  <si>
    <t>010167824</t>
  </si>
  <si>
    <t>010169171</t>
  </si>
  <si>
    <t>010171265</t>
  </si>
  <si>
    <t>010174185</t>
  </si>
  <si>
    <t>010175397</t>
  </si>
  <si>
    <t>010176600</t>
  </si>
  <si>
    <t>010179016</t>
  </si>
  <si>
    <t>010181675</t>
  </si>
  <si>
    <t>010183963</t>
  </si>
  <si>
    <t>010185377</t>
  </si>
  <si>
    <t>010187591</t>
  </si>
  <si>
    <t>010187951</t>
  </si>
  <si>
    <t>010188865</t>
  </si>
  <si>
    <t>010191272</t>
  </si>
  <si>
    <t>010191767</t>
  </si>
  <si>
    <t>010197060</t>
  </si>
  <si>
    <t>010197401</t>
  </si>
  <si>
    <t>010197488</t>
  </si>
  <si>
    <t>010199310</t>
  </si>
  <si>
    <t>010199762</t>
  </si>
  <si>
    <t>010202519</t>
  </si>
  <si>
    <t>010209135</t>
  </si>
  <si>
    <t>010214599</t>
  </si>
  <si>
    <t>010215451</t>
  </si>
  <si>
    <t>010215453</t>
  </si>
  <si>
    <t>010219148</t>
  </si>
  <si>
    <t>010219248</t>
  </si>
  <si>
    <t>010221455</t>
  </si>
  <si>
    <t>010223562</t>
  </si>
  <si>
    <t>010226257</t>
  </si>
  <si>
    <t>010227643</t>
  </si>
  <si>
    <t>010238324</t>
  </si>
  <si>
    <t>010239942</t>
  </si>
  <si>
    <t>010242269</t>
  </si>
  <si>
    <t>010248514</t>
  </si>
  <si>
    <t>010248584</t>
  </si>
  <si>
    <t>010248798</t>
  </si>
  <si>
    <t>010248955</t>
  </si>
  <si>
    <t>010249961</t>
  </si>
  <si>
    <t>010250043</t>
  </si>
  <si>
    <t>010252183</t>
  </si>
  <si>
    <t>010252340</t>
  </si>
  <si>
    <t>010252712</t>
  </si>
  <si>
    <t>010253128</t>
  </si>
  <si>
    <t>010253306</t>
  </si>
  <si>
    <t>010253503</t>
  </si>
  <si>
    <t>010253505</t>
  </si>
  <si>
    <t>010253618</t>
  </si>
  <si>
    <t>010254953</t>
  </si>
  <si>
    <t>010255713</t>
  </si>
  <si>
    <t>010255939</t>
  </si>
  <si>
    <t>010255966</t>
  </si>
  <si>
    <t>010255973</t>
  </si>
  <si>
    <t>010256619</t>
  </si>
  <si>
    <t>010257085</t>
  </si>
  <si>
    <t>010257106</t>
  </si>
  <si>
    <t>010257728</t>
  </si>
  <si>
    <t>010258611</t>
  </si>
  <si>
    <t>010258968</t>
  </si>
  <si>
    <t>010260578</t>
  </si>
  <si>
    <t>010260801</t>
  </si>
  <si>
    <t>010261202</t>
  </si>
  <si>
    <t>010261218</t>
  </si>
  <si>
    <t>010262539</t>
  </si>
  <si>
    <t>010262717</t>
  </si>
  <si>
    <t>010267645</t>
  </si>
  <si>
    <t>010267764</t>
  </si>
  <si>
    <t>010267861</t>
  </si>
  <si>
    <t>010268030</t>
  </si>
  <si>
    <t>010268164</t>
  </si>
  <si>
    <t>010268252</t>
  </si>
  <si>
    <t>010268254</t>
  </si>
  <si>
    <t>010268356</t>
  </si>
  <si>
    <t>010269152</t>
  </si>
  <si>
    <t>010269297</t>
  </si>
  <si>
    <t>010269314</t>
  </si>
  <si>
    <t>010270805</t>
  </si>
  <si>
    <t>010271121</t>
  </si>
  <si>
    <t>010272269</t>
  </si>
  <si>
    <t>010272794</t>
  </si>
  <si>
    <t>010272862</t>
  </si>
  <si>
    <t>010273784</t>
  </si>
  <si>
    <t>010274852</t>
  </si>
  <si>
    <t>010277419</t>
  </si>
  <si>
    <t>010278629</t>
  </si>
  <si>
    <t>010280318</t>
  </si>
  <si>
    <t>010281192</t>
  </si>
  <si>
    <t>010284417</t>
  </si>
  <si>
    <t>010290425</t>
  </si>
  <si>
    <t>010290605</t>
  </si>
  <si>
    <t>010296657</t>
  </si>
  <si>
    <t>010303222</t>
  </si>
  <si>
    <t>030055597</t>
  </si>
  <si>
    <t>030102414</t>
  </si>
  <si>
    <t>030113150</t>
  </si>
  <si>
    <t>030118409</t>
  </si>
  <si>
    <t>030119447</t>
  </si>
  <si>
    <t>030124441</t>
  </si>
  <si>
    <t>030126122</t>
  </si>
  <si>
    <t>030127119</t>
  </si>
  <si>
    <t>030130008</t>
  </si>
  <si>
    <t>030133289</t>
  </si>
  <si>
    <t>030134332</t>
  </si>
  <si>
    <t>030134638</t>
  </si>
  <si>
    <t>030138958</t>
  </si>
  <si>
    <t>030141501</t>
  </si>
  <si>
    <t>030142361</t>
  </si>
  <si>
    <t>030146197</t>
  </si>
  <si>
    <t>030146211</t>
  </si>
  <si>
    <t>030146261</t>
  </si>
  <si>
    <t>030146574</t>
  </si>
  <si>
    <t>030147101</t>
  </si>
  <si>
    <t>030147604</t>
  </si>
  <si>
    <t>030147606</t>
  </si>
  <si>
    <t>030147607</t>
  </si>
  <si>
    <t>030147697</t>
  </si>
  <si>
    <t>030149104</t>
  </si>
  <si>
    <t>030150929</t>
  </si>
  <si>
    <t>030152734</t>
  </si>
  <si>
    <t>030152830</t>
  </si>
  <si>
    <t>030155305</t>
  </si>
  <si>
    <t>030155835</t>
  </si>
  <si>
    <t>030160409</t>
  </si>
  <si>
    <t>030161203</t>
  </si>
  <si>
    <t>030161539</t>
  </si>
  <si>
    <t>030168888</t>
  </si>
  <si>
    <t>030169243</t>
  </si>
  <si>
    <t>030169245</t>
  </si>
  <si>
    <t>030170401</t>
  </si>
  <si>
    <t>030170402</t>
  </si>
  <si>
    <t>030172922</t>
  </si>
  <si>
    <t>030173256</t>
  </si>
  <si>
    <t>030174070</t>
  </si>
  <si>
    <t>030174975</t>
  </si>
  <si>
    <t>030177709</t>
  </si>
  <si>
    <t>030180631</t>
  </si>
  <si>
    <t>030184149</t>
  </si>
  <si>
    <t>030191503</t>
  </si>
  <si>
    <t>030194935</t>
  </si>
  <si>
    <t>030195063</t>
  </si>
  <si>
    <t>030195471</t>
  </si>
  <si>
    <t>030199551</t>
  </si>
  <si>
    <t>030200374</t>
  </si>
  <si>
    <t>030200413</t>
  </si>
  <si>
    <t>030203421</t>
  </si>
  <si>
    <t>030205832</t>
  </si>
  <si>
    <t>030207701</t>
  </si>
  <si>
    <t>030207998</t>
  </si>
  <si>
    <t>030208664</t>
  </si>
  <si>
    <t>030208817</t>
  </si>
  <si>
    <t>030208869</t>
  </si>
  <si>
    <t>030209521</t>
  </si>
  <si>
    <t>030212358</t>
  </si>
  <si>
    <t>030212381</t>
  </si>
  <si>
    <t>030213896</t>
  </si>
  <si>
    <t>030213981</t>
  </si>
  <si>
    <t>030218297</t>
  </si>
  <si>
    <t>030222834</t>
  </si>
  <si>
    <t>030223968</t>
  </si>
  <si>
    <t>030230989</t>
  </si>
  <si>
    <t>030231051</t>
  </si>
  <si>
    <t>030232379</t>
  </si>
  <si>
    <t>030232441</t>
  </si>
  <si>
    <t>030232502</t>
  </si>
  <si>
    <t>030232508</t>
  </si>
  <si>
    <t>030234349</t>
  </si>
  <si>
    <t>030234446</t>
  </si>
  <si>
    <t>030235720</t>
  </si>
  <si>
    <t>030237907</t>
  </si>
  <si>
    <t>030238384</t>
  </si>
  <si>
    <t>030238589</t>
  </si>
  <si>
    <t>030238597</t>
  </si>
  <si>
    <t>030238617</t>
  </si>
  <si>
    <t>030238736</t>
  </si>
  <si>
    <t>030239317</t>
  </si>
  <si>
    <t>030240429</t>
  </si>
  <si>
    <t>030240777</t>
  </si>
  <si>
    <t>030242327</t>
  </si>
  <si>
    <t>030243607</t>
  </si>
  <si>
    <t>030244207</t>
  </si>
  <si>
    <t>030244933</t>
  </si>
  <si>
    <t>030245992</t>
  </si>
  <si>
    <t>030246605</t>
  </si>
  <si>
    <t>030249193</t>
  </si>
  <si>
    <t>030252082</t>
  </si>
  <si>
    <t>030253148</t>
  </si>
  <si>
    <t>030255441</t>
  </si>
  <si>
    <t>030255660</t>
  </si>
  <si>
    <t>030255759</t>
  </si>
  <si>
    <t>030255762</t>
  </si>
  <si>
    <t>030256008</t>
  </si>
  <si>
    <t>030257781</t>
  </si>
  <si>
    <t>030258298</t>
  </si>
  <si>
    <t>030260265</t>
  </si>
  <si>
    <t>030262992</t>
  </si>
  <si>
    <t>030263675</t>
  </si>
  <si>
    <t>030264259</t>
  </si>
  <si>
    <t>030264594</t>
  </si>
  <si>
    <t>030265471</t>
  </si>
  <si>
    <t>030266087</t>
  </si>
  <si>
    <t>030266089</t>
  </si>
  <si>
    <t>030270918</t>
  </si>
  <si>
    <t>030278833</t>
  </si>
  <si>
    <t>030279546</t>
  </si>
  <si>
    <t>030281947</t>
  </si>
  <si>
    <t>030284193</t>
  </si>
  <si>
    <t>030284204</t>
  </si>
  <si>
    <t>030284210</t>
  </si>
  <si>
    <t>030284243</t>
  </si>
  <si>
    <t>030284358</t>
  </si>
  <si>
    <t>030284376</t>
  </si>
  <si>
    <t>030285556</t>
  </si>
  <si>
    <t>030287018</t>
  </si>
  <si>
    <t>030288838</t>
  </si>
  <si>
    <t>030289610</t>
  </si>
  <si>
    <t>030290756</t>
  </si>
  <si>
    <t>030291827</t>
  </si>
  <si>
    <t>030292525</t>
  </si>
  <si>
    <t>030293927</t>
  </si>
  <si>
    <t>030297068</t>
  </si>
  <si>
    <t>030298797</t>
  </si>
  <si>
    <t>030299334</t>
  </si>
  <si>
    <t>030299429</t>
  </si>
  <si>
    <t>030299863</t>
  </si>
  <si>
    <t>030300274</t>
  </si>
  <si>
    <t>030300595</t>
  </si>
  <si>
    <t>030300882</t>
  </si>
  <si>
    <t>030302201</t>
  </si>
  <si>
    <t>030303093</t>
  </si>
  <si>
    <t>030303831</t>
  </si>
  <si>
    <t>030222631</t>
  </si>
  <si>
    <t>010012275</t>
  </si>
  <si>
    <t>010018045</t>
  </si>
  <si>
    <t>010033040</t>
  </si>
  <si>
    <t>010030372</t>
  </si>
  <si>
    <t>010033905</t>
  </si>
  <si>
    <t>010045418</t>
  </si>
  <si>
    <t>010050335</t>
  </si>
  <si>
    <t>010055060</t>
  </si>
  <si>
    <t>010044465</t>
  </si>
  <si>
    <t>010059602</t>
  </si>
  <si>
    <t>030294901</t>
  </si>
  <si>
    <t>030053611</t>
  </si>
  <si>
    <t>030146142</t>
  </si>
  <si>
    <t>030160730</t>
  </si>
  <si>
    <t>010106578</t>
  </si>
  <si>
    <t>030195647</t>
  </si>
  <si>
    <t>030060851</t>
  </si>
  <si>
    <t>030195207</t>
  </si>
  <si>
    <t>030165989</t>
  </si>
  <si>
    <t>030165990</t>
  </si>
  <si>
    <t>030165991</t>
  </si>
  <si>
    <t>030199638</t>
  </si>
  <si>
    <t>010188066</t>
  </si>
  <si>
    <t>010000255</t>
  </si>
  <si>
    <t>010008413</t>
  </si>
  <si>
    <t>030125926</t>
  </si>
  <si>
    <t>010056559</t>
  </si>
  <si>
    <t>010056106</t>
  </si>
  <si>
    <t>010189416</t>
  </si>
  <si>
    <t>030196236</t>
  </si>
  <si>
    <t>030195346</t>
  </si>
  <si>
    <t>010158856</t>
  </si>
  <si>
    <t>010198436</t>
  </si>
  <si>
    <t>010066545</t>
  </si>
  <si>
    <t>010060822</t>
  </si>
  <si>
    <t>010040478</t>
  </si>
  <si>
    <t>010059168</t>
  </si>
  <si>
    <t>010018878</t>
  </si>
  <si>
    <t>010048372</t>
  </si>
  <si>
    <t>010118988</t>
  </si>
  <si>
    <t>010060551</t>
  </si>
  <si>
    <t>010070843</t>
  </si>
  <si>
    <t>030125914</t>
  </si>
  <si>
    <t>030143434</t>
  </si>
  <si>
    <t>010006756</t>
  </si>
  <si>
    <t>010006757</t>
  </si>
  <si>
    <t>010030285</t>
  </si>
  <si>
    <t>010037814</t>
  </si>
  <si>
    <t>010058900</t>
  </si>
  <si>
    <t>010079891</t>
  </si>
  <si>
    <t>010134446</t>
  </si>
  <si>
    <t>010149007</t>
  </si>
  <si>
    <t>010190229</t>
  </si>
  <si>
    <t>010190963</t>
  </si>
  <si>
    <t>010196299</t>
  </si>
  <si>
    <t>010206327</t>
  </si>
  <si>
    <t>010215416</t>
  </si>
  <si>
    <t>010258304</t>
  </si>
  <si>
    <t>010277489</t>
  </si>
  <si>
    <t>010291267</t>
  </si>
  <si>
    <t>010296335</t>
  </si>
  <si>
    <t>030237518</t>
  </si>
  <si>
    <t>010189021</t>
  </si>
  <si>
    <t>010263073</t>
  </si>
  <si>
    <t>010106743</t>
  </si>
  <si>
    <t>010110852</t>
  </si>
  <si>
    <t>010112748</t>
  </si>
  <si>
    <t>010121432</t>
  </si>
  <si>
    <t>010148998</t>
  </si>
  <si>
    <t>010154772</t>
  </si>
  <si>
    <t>010161573</t>
  </si>
  <si>
    <t>010148291</t>
  </si>
  <si>
    <t>010026380</t>
  </si>
  <si>
    <t>030053621</t>
  </si>
  <si>
    <t>010191836</t>
  </si>
  <si>
    <t>010189087</t>
  </si>
  <si>
    <t>010189071</t>
  </si>
  <si>
    <t>010209231</t>
  </si>
  <si>
    <t>010146894</t>
  </si>
  <si>
    <t>010042373</t>
  </si>
  <si>
    <t>010202206</t>
  </si>
  <si>
    <t>010161395</t>
  </si>
  <si>
    <t>010232524</t>
  </si>
  <si>
    <t>030200841</t>
  </si>
  <si>
    <t>030209180</t>
  </si>
  <si>
    <t>010006319</t>
  </si>
  <si>
    <t>RV/17/2/HDO/00099537</t>
  </si>
  <si>
    <t>RV/17/2/HDO/00099538</t>
  </si>
  <si>
    <t>RV/17/2/HDO/00099539</t>
  </si>
  <si>
    <t>RV/17/2/HDO/00099540</t>
  </si>
  <si>
    <t>RV/17/2/HDO/00099541</t>
  </si>
  <si>
    <t>RV/17/2/HDO/00099542</t>
  </si>
  <si>
    <t>RV/17/2/HDO/00099543</t>
  </si>
  <si>
    <t>RV/17/2/HDO/00099544</t>
  </si>
  <si>
    <t>RV/17/2/HDO/00099545</t>
  </si>
  <si>
    <t>RV/17/2/HDO/00099546</t>
  </si>
  <si>
    <t>RV/17/2/HDO/00099547</t>
  </si>
  <si>
    <t>RV/17/2/HDO/00099548</t>
  </si>
  <si>
    <t>RV/17/2/HDO/00099549</t>
  </si>
  <si>
    <t>RV/17/2/HDO/00099550</t>
  </si>
  <si>
    <t>RV/17/2/HDO/00099551</t>
  </si>
  <si>
    <t>RV/17/2/HDO/00099552</t>
  </si>
  <si>
    <t>RV/17/2/HDO/00099553</t>
  </si>
  <si>
    <t>RV/17/2/HDO/00099554</t>
  </si>
  <si>
    <t>RV/17/2/HDO/00099555</t>
  </si>
  <si>
    <t>RV/17/2/HDO/00099556</t>
  </si>
  <si>
    <t>RV/17/2/HDO/00099557</t>
  </si>
  <si>
    <t>RV/17/2/HDO/00099558</t>
  </si>
  <si>
    <t>RV/17/2/HDO/00099559</t>
  </si>
  <si>
    <t>RV/17/2/HDO/00099560</t>
  </si>
  <si>
    <t>RV/17/2/HDO/00099561</t>
  </si>
  <si>
    <t>RV/17/2/HDO/00099562</t>
  </si>
  <si>
    <t>RV/17/2/HDO/00099563</t>
  </si>
  <si>
    <t>RV/17/2/HDO/00099564</t>
  </si>
  <si>
    <t>RV/17/2/HDO/00099565</t>
  </si>
  <si>
    <t>RV/17/2/HDO/00099566</t>
  </si>
  <si>
    <t>RV/17/2/HDO/00099567</t>
  </si>
  <si>
    <t>RV/17/2/HDO/00099568</t>
  </si>
  <si>
    <t>RV/17/2/HDO/00099569</t>
  </si>
  <si>
    <t>RV/17/2/HDO/00099570</t>
  </si>
  <si>
    <t>RV/17/2/HDO/00099571</t>
  </si>
  <si>
    <t>RV/17/2/HDO/00099572</t>
  </si>
  <si>
    <t>RV/17/2/HDO/00099573</t>
  </si>
  <si>
    <t>RV/17/2/HDO/00099574</t>
  </si>
  <si>
    <t>RV/17/2/HDO/00099575</t>
  </si>
  <si>
    <t>RV/17/2/HDO/00099576</t>
  </si>
  <si>
    <t>RV/17/2/HDO/00099577</t>
  </si>
  <si>
    <t>RV/17/2/HDO/00099578</t>
  </si>
  <si>
    <t>RV/17/2/HDO/00099579</t>
  </si>
  <si>
    <t>RV/17/2/HDO/00099580</t>
  </si>
  <si>
    <t>RV/17/2/HDO/00099581</t>
  </si>
  <si>
    <t>RV/17/2/HDO/00099582</t>
  </si>
  <si>
    <t>RV/17/2/HDO/00099583</t>
  </si>
  <si>
    <t>RV/17/2/HDO/00099584</t>
  </si>
  <si>
    <t>RV/17/2/HDO/00099585</t>
  </si>
  <si>
    <t>RV/17/2/HDO/00099586</t>
  </si>
  <si>
    <t>RV/17/2/HDO/00099587</t>
  </si>
  <si>
    <t>RV/17/2/HDO/00099588</t>
  </si>
  <si>
    <t>RV/17/2/HDO/00099589</t>
  </si>
  <si>
    <t>RV/17/2/HDO/00099590</t>
  </si>
  <si>
    <t>RV/17/2/HDO/00099591</t>
  </si>
  <si>
    <t>RV/17/2/HDO/00099592</t>
  </si>
  <si>
    <t>RV/17/2/HDO/00099593</t>
  </si>
  <si>
    <t>RV/17/2/HDO/00099594</t>
  </si>
  <si>
    <t>RV/17/2/HDO/00099595</t>
  </si>
  <si>
    <t>RV/17/2/HDO/00099596</t>
  </si>
  <si>
    <t>RV/17/2/HDO/00099597</t>
  </si>
  <si>
    <t>RV/17/2/HDO/00099598</t>
  </si>
  <si>
    <t>RV/17/2/HDO/00099599</t>
  </si>
  <si>
    <t>RV/17/2/HDO/00099600</t>
  </si>
  <si>
    <t>RV/17/2/HDO/00099601</t>
  </si>
  <si>
    <t>RV/17/2/HDO/00099602</t>
  </si>
  <si>
    <t>RV/17/2/HDO/00099603</t>
  </si>
  <si>
    <t>RV/17/2/HDO/00099604</t>
  </si>
  <si>
    <t>RV/17/2/HDO/00099605</t>
  </si>
  <si>
    <t>RV/17/2/HDO/00099606</t>
  </si>
  <si>
    <t>RV/17/2/HDO/00099607</t>
  </si>
  <si>
    <t>RV/17/2/HDO/00099608</t>
  </si>
  <si>
    <t>RV/17/2/HDO/00099609</t>
  </si>
  <si>
    <t>RV/17/2/HDO/00099610</t>
  </si>
  <si>
    <t>RV/17/2/HDO/00099611</t>
  </si>
  <si>
    <t>RV/17/2/HDO/00099612</t>
  </si>
  <si>
    <t>RV/17/2/HDO/00099613</t>
  </si>
  <si>
    <t>RV/17/2/HDO/00099614</t>
  </si>
  <si>
    <t>RV/17/2/HDO/00099615</t>
  </si>
  <si>
    <t>RV/17/2/HDO/00099616</t>
  </si>
  <si>
    <t>RV/17/2/HDO/00099617</t>
  </si>
  <si>
    <t>RV/17/2/HDO/00099618</t>
  </si>
  <si>
    <t>RV/17/2/HDO/00099619</t>
  </si>
  <si>
    <t>RV/17/2/HDO/00099620</t>
  </si>
  <si>
    <t>RV/17/2/HDO/00099621</t>
  </si>
  <si>
    <t>RV/17/2/HDO/00099622</t>
  </si>
  <si>
    <t>RV/17/2/HDO/00099623</t>
  </si>
  <si>
    <t>RV/17/2/HDO/00099624</t>
  </si>
  <si>
    <t>RV/17/2/HDO/00099625</t>
  </si>
  <si>
    <t>RV/17/2/HDO/00099626</t>
  </si>
  <si>
    <t>RV/17/2/HDO/00099627</t>
  </si>
  <si>
    <t>RV/17/2/HDO/00099628</t>
  </si>
  <si>
    <t>RV/17/2/HDO/00099629</t>
  </si>
  <si>
    <t>RV/17/2/HDO/00099630</t>
  </si>
  <si>
    <t>RV/17/2/HDO/00099631</t>
  </si>
  <si>
    <t>RV/17/2/HDO/00099632</t>
  </si>
  <si>
    <t>RV/17/2/HDO/00099633</t>
  </si>
  <si>
    <t>RV/17/2/HDO/00099634</t>
  </si>
  <si>
    <t>RV/17/2/HDO/00099635</t>
  </si>
  <si>
    <t>RV/17/2/HDO/00099636</t>
  </si>
  <si>
    <t>RV/17/2/HDO/00099637</t>
  </si>
  <si>
    <t>RV/17/2/HDO/00099638</t>
  </si>
  <si>
    <t>RV/17/2/HDO/00099639</t>
  </si>
  <si>
    <t>RV/17/2/HDO/00099640</t>
  </si>
  <si>
    <t>RV/17/2/HDO/00099641</t>
  </si>
  <si>
    <t>RV/17/2/HDO/00099642</t>
  </si>
  <si>
    <t>RV/17/2/HDO/00099643</t>
  </si>
  <si>
    <t>RV/17/2/HDO/00099644</t>
  </si>
  <si>
    <t>RV/17/2/HDO/00099645</t>
  </si>
  <si>
    <t>RV/17/2/HDO/00099646</t>
  </si>
  <si>
    <t>RV/17/2/HDO/00099647</t>
  </si>
  <si>
    <t>RV/17/2/HDO/00099648</t>
  </si>
  <si>
    <t>RV/17/2/HDO/00099649</t>
  </si>
  <si>
    <t>RV/17/2/HDO/00099650</t>
  </si>
  <si>
    <t>RV/17/2/HDO/00099651</t>
  </si>
  <si>
    <t>RV/17/2/HDO/00099652</t>
  </si>
  <si>
    <t>RV/17/2/HDO/00099653</t>
  </si>
  <si>
    <t>RV/17/2/HDO/00099654</t>
  </si>
  <si>
    <t>RV/17/2/HDO/00099655</t>
  </si>
  <si>
    <t>RV/17/2/HDO/00099656</t>
  </si>
  <si>
    <t>RV/17/2/HDO/00099657</t>
  </si>
  <si>
    <t>RV/17/2/HDO/00099658</t>
  </si>
  <si>
    <t>RV/17/2/HDO/00099659</t>
  </si>
  <si>
    <t>RV/17/2/HDO/00099660</t>
  </si>
  <si>
    <t>RV/17/2/HDO/00099661</t>
  </si>
  <si>
    <t>RV/17/2/HDO/00099662</t>
  </si>
  <si>
    <t>RV/17/2/HDO/00099663</t>
  </si>
  <si>
    <t>RV/17/2/HDO/00099664</t>
  </si>
  <si>
    <t>RV/17/2/HDO/00099665</t>
  </si>
  <si>
    <t>RV/17/2/HDO/00099666</t>
  </si>
  <si>
    <t>RV/17/2/HDO/00099667</t>
  </si>
  <si>
    <t>RV/17/2/HDO/00099668</t>
  </si>
  <si>
    <t>RV/17/2/HDO/00099669</t>
  </si>
  <si>
    <t>RV/17/2/HDO/00099670</t>
  </si>
  <si>
    <t>RV/17/2/HDO/00099671</t>
  </si>
  <si>
    <t>RV/17/2/HDO/00099672</t>
  </si>
  <si>
    <t>RV/17/2/HDO/00099673</t>
  </si>
  <si>
    <t>RV/17/2/HDO/00099674</t>
  </si>
  <si>
    <t>RV/17/2/HDO/00099675</t>
  </si>
  <si>
    <t>RV/17/2/HDO/00099676</t>
  </si>
  <si>
    <t>RV/17/2/HDO/00099677</t>
  </si>
  <si>
    <t>RV/17/2/HDO/00099678</t>
  </si>
  <si>
    <t>RV/17/2/HDO/00099679</t>
  </si>
  <si>
    <t>RV/17/2/HDO/00099680</t>
  </si>
  <si>
    <t>RV/17/2/HDO/00099681</t>
  </si>
  <si>
    <t>RV/17/2/HDO/00099682</t>
  </si>
  <si>
    <t>RV/17/2/HDO/00099683</t>
  </si>
  <si>
    <t>RV/17/2/HDO/00099684</t>
  </si>
  <si>
    <t>RV/17/2/HDO/00099685</t>
  </si>
  <si>
    <t>RV/17/2/HDO/00099686</t>
  </si>
  <si>
    <t>RV/17/2/HDO/00099687</t>
  </si>
  <si>
    <t>RV/17/2/HDO/00099688</t>
  </si>
  <si>
    <t>RV/17/2/HDO/00099689</t>
  </si>
  <si>
    <t>RV/17/2/HDO/00099690</t>
  </si>
  <si>
    <t>RV/17/2/HDO/00099691</t>
  </si>
  <si>
    <t>RV/17/2/HDO/00099692</t>
  </si>
  <si>
    <t>RV/17/2/HDO/00099693</t>
  </si>
  <si>
    <t>RV/17/2/HDO/00099694</t>
  </si>
  <si>
    <t>RV/17/2/HDO/00099695</t>
  </si>
  <si>
    <t>RV/17/2/HDO/00099696</t>
  </si>
  <si>
    <t>RV/17/2/HDO/00099697</t>
  </si>
  <si>
    <t>RV/17/2/HDO/00099698</t>
  </si>
  <si>
    <t>RV/17/2/HDO/00099699</t>
  </si>
  <si>
    <t>RV/17/2/HDO/00099700</t>
  </si>
  <si>
    <t>RV/17/2/HDO/00099701</t>
  </si>
  <si>
    <t>RV/17/2/HDO/00099702</t>
  </si>
  <si>
    <t>RV/17/2/HDO/00099703</t>
  </si>
  <si>
    <t>RV/17/2/HDO/00099704</t>
  </si>
  <si>
    <t>RV/17/2/HDO/00099705</t>
  </si>
  <si>
    <t>RV/17/2/HDO/00099706</t>
  </si>
  <si>
    <t>RV/17/2/HDO/00099707</t>
  </si>
  <si>
    <t>RV/17/2/HDO/00099708</t>
  </si>
  <si>
    <t>RV/17/2/HDO/00099709</t>
  </si>
  <si>
    <t>RV/17/2/HDO/00099710</t>
  </si>
  <si>
    <t>RV/17/2/HDO/00099711</t>
  </si>
  <si>
    <t>RV/17/2/HDO/00099712</t>
  </si>
  <si>
    <t>RV/17/2/HDO/00099713</t>
  </si>
  <si>
    <t>RV/17/2/HDO/00099714</t>
  </si>
  <si>
    <t>RV/17/2/HDO/00099715</t>
  </si>
  <si>
    <t>RV/17/2/HDO/00099716</t>
  </si>
  <si>
    <t>RV/17/2/HDO/00099717</t>
  </si>
  <si>
    <t>RV/17/2/HDO/00099718</t>
  </si>
  <si>
    <t>RV/17/2/HDO/00099719</t>
  </si>
  <si>
    <t>RV/17/2/HDO/00099720</t>
  </si>
  <si>
    <t>RV/17/2/HDO/00099721</t>
  </si>
  <si>
    <t>RV/17/2/HDO/00099722</t>
  </si>
  <si>
    <t>RV/17/2/HDO/00099723</t>
  </si>
  <si>
    <t>RV/17/2/HDO/00099724</t>
  </si>
  <si>
    <t>RV/17/2/HDO/00099725</t>
  </si>
  <si>
    <t>RV/17/2/HDO/00099726</t>
  </si>
  <si>
    <t>RV/17/2/HDO/00099727</t>
  </si>
  <si>
    <t>RV/17/2/HDO/00099728</t>
  </si>
  <si>
    <t>RV/17/2/HDO/00099729</t>
  </si>
  <si>
    <t>RV/17/2/HDO/00099730</t>
  </si>
  <si>
    <t>RV/17/2/HDO/00099731</t>
  </si>
  <si>
    <t>RV/17/2/HDO/00099732</t>
  </si>
  <si>
    <t>RV/17/2/HDO/00099733</t>
  </si>
  <si>
    <t>RV/17/2/HDO/00099734</t>
  </si>
  <si>
    <t>RV/17/2/HDO/00099735</t>
  </si>
  <si>
    <t>RV/17/2/HDO/00099736</t>
  </si>
  <si>
    <t>RV/17/2/HDO/00099737</t>
  </si>
  <si>
    <t>RV/17/2/HDO/00099738</t>
  </si>
  <si>
    <t>RV/17/2/HDO/00099739</t>
  </si>
  <si>
    <t>RV/17/2/HDO/00099740</t>
  </si>
  <si>
    <t>RV/17/2/HDO/00099741</t>
  </si>
  <si>
    <t>RV/17/2/HDO/00099742</t>
  </si>
  <si>
    <t>RV/17/2/HDO/00099743</t>
  </si>
  <si>
    <t>RV/17/2/HDO/00099744</t>
  </si>
  <si>
    <t>RV/17/2/HDO/00099745</t>
  </si>
  <si>
    <t>RV/17/2/HDO/00099746</t>
  </si>
  <si>
    <t>RV/17/2/HDO/00099747</t>
  </si>
  <si>
    <t>RV/17/2/HDO/00099748</t>
  </si>
  <si>
    <t>RV/17/2/HDO/00099749</t>
  </si>
  <si>
    <t>RV/17/2/HDO/00099750</t>
  </si>
  <si>
    <t>RV/17/2/HDO/00099751</t>
  </si>
  <si>
    <t>RV/17/2/HDO/00099752</t>
  </si>
  <si>
    <t>RV/17/2/HDO/00099753</t>
  </si>
  <si>
    <t>RV/17/2/HDO/00099754</t>
  </si>
  <si>
    <t>RV/17/2/HDO/00099755</t>
  </si>
  <si>
    <t>RV/17/2/HDO/00099756</t>
  </si>
  <si>
    <t>RV/17/2/HDO/00099757</t>
  </si>
  <si>
    <t>RV/17/2/HDO/00099758</t>
  </si>
  <si>
    <t>RV/17/2/HDO/00099759</t>
  </si>
  <si>
    <t>RV/17/2/HDO/00099760</t>
  </si>
  <si>
    <t>RV/17/2/HDO/00099761</t>
  </si>
  <si>
    <t>RV/17/2/HDO/00099762</t>
  </si>
  <si>
    <t>RV/17/2/HDO/00099763</t>
  </si>
  <si>
    <t>RV/17/2/HDO/00099764</t>
  </si>
  <si>
    <t>RV/17/2/HDO/00099765</t>
  </si>
  <si>
    <t>RV/17/2/HDO/00099766</t>
  </si>
  <si>
    <t>RV/17/2/HDO/00099767</t>
  </si>
  <si>
    <t>RV/17/2/HDO/00099768</t>
  </si>
  <si>
    <t>RV/17/2/HDO/00099769</t>
  </si>
  <si>
    <t>RV/17/2/HDO/00099770</t>
  </si>
  <si>
    <t>RV/17/2/HDO/00099771</t>
  </si>
  <si>
    <t>RV/17/2/HDO/00099772</t>
  </si>
  <si>
    <t>RV/17/2/HDO/00099773</t>
  </si>
  <si>
    <t>RV/17/2/HDO/00099774</t>
  </si>
  <si>
    <t>RV/17/2/HDO/00099775</t>
  </si>
  <si>
    <t>RV/17/2/HDO/00099776</t>
  </si>
  <si>
    <t>RV/17/2/HDO/00099777</t>
  </si>
  <si>
    <t>RV/17/2/HDO/00099778</t>
  </si>
  <si>
    <t>RV/17/2/HDO/00099779</t>
  </si>
  <si>
    <t>RV/17/2/HDO/00099780</t>
  </si>
  <si>
    <t>RV/17/2/HDO/00099781</t>
  </si>
  <si>
    <t>RV/17/2/HDO/00099782</t>
  </si>
  <si>
    <t>RV/17/2/HDO/00099783</t>
  </si>
  <si>
    <t>RV/17/2/HDO/00099784</t>
  </si>
  <si>
    <t>RV/17/2/HDO/00099785</t>
  </si>
  <si>
    <t>RV/17/2/HDO/00099786</t>
  </si>
  <si>
    <t>RV/17/2/HDO/00099787</t>
  </si>
  <si>
    <t>RV/17/2/HDO/00099788</t>
  </si>
  <si>
    <t>RV/17/2/HDO/00099789</t>
  </si>
  <si>
    <t>RV/17/2/HDO/00099790</t>
  </si>
  <si>
    <t>RV/17/2/HDO/00099791</t>
  </si>
  <si>
    <t>RV/17/2/HDO/00099792</t>
  </si>
  <si>
    <t>RV/17/2/HDO/00099793</t>
  </si>
  <si>
    <t>RV/17/2/HDO/00099794</t>
  </si>
  <si>
    <t>RV/17/2/HDO/00099795</t>
  </si>
  <si>
    <t>RV/17/2/HDO/00099796</t>
  </si>
  <si>
    <t>RV/17/2/HDO/00099797</t>
  </si>
  <si>
    <t>RV/17/2/HDO/00099798</t>
  </si>
  <si>
    <t>RV/17/2/HDO/00099799</t>
  </si>
  <si>
    <t>RV/17/2/HDO/00099800</t>
  </si>
  <si>
    <t>RV/17/2/HDO/00099801</t>
  </si>
  <si>
    <t>RV/17/2/HDO/00099802</t>
  </si>
  <si>
    <t>RV/17/2/HDO/00099803</t>
  </si>
  <si>
    <t>RV/17/2/HDO/00099804</t>
  </si>
  <si>
    <t>RV/17/2/HDO/00099805</t>
  </si>
  <si>
    <t>RV/17/2/HDO/00099806</t>
  </si>
  <si>
    <t>RV/17/2/HDO/00099807</t>
  </si>
  <si>
    <t>RV/17/2/HDO/00099808</t>
  </si>
  <si>
    <t>RV/17/2/HDO/00099809</t>
  </si>
  <si>
    <t>RV/17/2/HDO/00099810</t>
  </si>
  <si>
    <t>RV/17/2/HDO/00099811</t>
  </si>
  <si>
    <t>RV/17/2/HDO/00099812</t>
  </si>
  <si>
    <t>RV/17/2/HDO/00099813</t>
  </si>
  <si>
    <t>RV/17/2/HDO/00099814</t>
  </si>
  <si>
    <t>RV/17/2/HDO/00099815</t>
  </si>
  <si>
    <t>RV/17/2/HDO/00099816</t>
  </si>
  <si>
    <t>RV/17/2/HDO/00099817</t>
  </si>
  <si>
    <t>RV/17/2/HDO/00099818</t>
  </si>
  <si>
    <t>RV/17/2/HDO/00099819</t>
  </si>
  <si>
    <t>RV/17/2/HDO/00099820</t>
  </si>
  <si>
    <t>RV/17/2/HDO/00099821</t>
  </si>
  <si>
    <t>RV/17/2/HDO/00099822</t>
  </si>
  <si>
    <t>RV/17/2/HDO/00099823</t>
  </si>
  <si>
    <t>RV/17/2/HDO/00099824</t>
  </si>
  <si>
    <t>RV/17/2/HDO/00099825</t>
  </si>
  <si>
    <t>RV/17/2/HDO/00099826</t>
  </si>
  <si>
    <t>RV/17/2/HDO/00099827</t>
  </si>
  <si>
    <t>RV/17/2/HDO/00099828</t>
  </si>
  <si>
    <t>RV/17/2/HDO/00099829</t>
  </si>
  <si>
    <t>RV/17/2/HDO/00099830</t>
  </si>
  <si>
    <t>RV/17/2/HDO/00099831</t>
  </si>
  <si>
    <t>RV/17/2/HDO/00099832</t>
  </si>
  <si>
    <t>RV/17/2/HDO/00099833</t>
  </si>
  <si>
    <t>RV/17/2/HDO/00099834</t>
  </si>
  <si>
    <t>RV/17/2/HDO/00099835</t>
  </si>
  <si>
    <t>RV/17/2/HDO/00099836</t>
  </si>
  <si>
    <t>RV/17/2/HDO/00099837</t>
  </si>
  <si>
    <t>RV/17/2/HDO/00099838</t>
  </si>
  <si>
    <t>RV/17/2/HDO/00099839</t>
  </si>
  <si>
    <t>RV/17/2/HDO/00099840</t>
  </si>
  <si>
    <t>RV/17/2/HDO/00099841</t>
  </si>
  <si>
    <t>RV/17/2/HDO/00099842</t>
  </si>
  <si>
    <t>RV/17/2/HDO/00099843</t>
  </si>
  <si>
    <t>RV/17/2/HDO/00099844</t>
  </si>
  <si>
    <t>RV/17/2/HDO/00099845</t>
  </si>
  <si>
    <t>RV/17/2/HDO/00099846</t>
  </si>
  <si>
    <t>RV/17/2/HDO/00099847</t>
  </si>
  <si>
    <t>RV/17/2/HDO/00099848</t>
  </si>
  <si>
    <t>RV/17/2/HDO/00099849</t>
  </si>
  <si>
    <t>RV/17/2/HDO/00099850</t>
  </si>
  <si>
    <t>RV/17/2/HDO/00099851</t>
  </si>
  <si>
    <t>RV/17/2/HDO/00099852</t>
  </si>
  <si>
    <t>RV/17/2/HDO/00099853</t>
  </si>
  <si>
    <t>RV/17/2/HDO/00099854</t>
  </si>
  <si>
    <t>RV/17/2/HDO/00099855</t>
  </si>
  <si>
    <t>RV/17/2/HDO/00099856</t>
  </si>
  <si>
    <t>RV/17/2/HDO/00099857</t>
  </si>
  <si>
    <t>RV/17/2/HDO/00099858</t>
  </si>
  <si>
    <t>RV/17/2/HDO/00099859</t>
  </si>
  <si>
    <t>RV/17/2/HDO/00099860</t>
  </si>
  <si>
    <t>RV/17/2/HDO/00099861</t>
  </si>
  <si>
    <t>RV/17/2/HDO/00099862</t>
  </si>
  <si>
    <t>RV/17/2/HDO/00099863</t>
  </si>
  <si>
    <t>RV/17/2/HDO/00099864</t>
  </si>
  <si>
    <t>RV/17/2/HDO/00099865</t>
  </si>
  <si>
    <t>RV/17/2/HDO/00099866</t>
  </si>
  <si>
    <t>RV/17/2/HDO/00099867</t>
  </si>
  <si>
    <t>RV/17/2/HDO/00099868</t>
  </si>
  <si>
    <t>RV/17/2/HDO/00099869</t>
  </si>
  <si>
    <t>RV/17/2/HDO/00099870</t>
  </si>
  <si>
    <t>RV/17/2/HDO/00099871</t>
  </si>
  <si>
    <t>RV/17/2/HDO/00099872</t>
  </si>
  <si>
    <t>RV/17/2/HDO/00099873</t>
  </si>
  <si>
    <t>RV/17/2/HDO/00099874</t>
  </si>
  <si>
    <t>RV/17/2/HDO/00099875</t>
  </si>
  <si>
    <t>RV/17/2/HDO/00099876</t>
  </si>
  <si>
    <t>RV/17/2/HDO/00099877</t>
  </si>
  <si>
    <t>RV/17/2/HDO/00099878</t>
  </si>
  <si>
    <t>RV/17/2/HDO/00099879</t>
  </si>
  <si>
    <t>RV/17/2/HDO/00099880</t>
  </si>
  <si>
    <t>RV/17/2/HDO/00099881</t>
  </si>
  <si>
    <t>RV/17/2/HDO/00099882</t>
  </si>
  <si>
    <t>RV/17/2/HDO/00099883</t>
  </si>
  <si>
    <t>RV/17/2/HDO/00099884</t>
  </si>
  <si>
    <t>RV/17/2/HDO/00099885</t>
  </si>
  <si>
    <t>RV/17/2/HDO/00099886</t>
  </si>
  <si>
    <t>RV/17/2/HDO/00099887</t>
  </si>
  <si>
    <t>RV/17/2/HDO/00099888</t>
  </si>
  <si>
    <t>RV/17/2/HDO/00099889</t>
  </si>
  <si>
    <t>RV/17/2/HDO/00099890</t>
  </si>
  <si>
    <t>RV/17/2/HDO/00099891</t>
  </si>
  <si>
    <t>RV/17/2/HDO/00099892</t>
  </si>
  <si>
    <t>RV/17/2/HDO/00099893</t>
  </si>
  <si>
    <t>RV/17/2/HDO/00099894</t>
  </si>
  <si>
    <t>RV/17/2/HDO/00099895</t>
  </si>
  <si>
    <t>RV/17/2/HDO/00099896</t>
  </si>
  <si>
    <t>RV/17/2/HDO/00099897</t>
  </si>
  <si>
    <t>RV/17/2/HDO/00099898</t>
  </si>
  <si>
    <t>RV/17/2/HDO/00099899</t>
  </si>
  <si>
    <t>RV/17/2/HDO/00099900</t>
  </si>
  <si>
    <t>RV/17/2/HDO/00099901</t>
  </si>
  <si>
    <t>RV/17/2/HDO/00099902</t>
  </si>
  <si>
    <t>RV/17/2/HDO/00099903</t>
  </si>
  <si>
    <t>RV/17/2/HDO/00099904</t>
  </si>
  <si>
    <t>RV/17/2/HDO/00099905</t>
  </si>
  <si>
    <t>RV/17/2/HDO/00099906</t>
  </si>
  <si>
    <t>RV/17/2/HDO/00099907</t>
  </si>
  <si>
    <t>RV/17/2/HDO/00099908</t>
  </si>
  <si>
    <t>RV/17/2/HDO/00099909</t>
  </si>
  <si>
    <t>RV/17/2/HDO/00099910</t>
  </si>
  <si>
    <t>RV/17/2/HDO/00099911</t>
  </si>
  <si>
    <t>RV/17/2/HDO/00099912</t>
  </si>
  <si>
    <t>RV/17/2/HDO/00099913</t>
  </si>
  <si>
    <t>RV/17/2/HDO/00099914</t>
  </si>
  <si>
    <t>RV/17/2/HDO/00099915</t>
  </si>
  <si>
    <t>RV/17/2/HDO/00099916</t>
  </si>
  <si>
    <t>RV/17/2/HDO/00099917</t>
  </si>
  <si>
    <t>RV/17/2/HDO/00099918</t>
  </si>
  <si>
    <t>RV/17/2/HDO/00099919</t>
  </si>
  <si>
    <t>RV/17/2/HDO/00099920</t>
  </si>
  <si>
    <t>RV/17/2/HDO/00099921</t>
  </si>
  <si>
    <t>RV/17/2/HDO/00099922</t>
  </si>
  <si>
    <t>RV/17/2/HDO/00099923</t>
  </si>
  <si>
    <t>RV/17/2/HDO/00099924</t>
  </si>
  <si>
    <t>RV/17/2/HDO/00099925</t>
  </si>
  <si>
    <t>RV/17/2/HDO/00099926</t>
  </si>
  <si>
    <t>RV/17/2/HDO/00099927</t>
  </si>
  <si>
    <t>RV/17/2/HDO/00099928</t>
  </si>
  <si>
    <t>RV/17/2/HDO/00099929</t>
  </si>
  <si>
    <t>RV/17/2/HDO/00099930</t>
  </si>
  <si>
    <t>RV/17/2/HDO/00099931</t>
  </si>
  <si>
    <t>RV/17/2/HDO/00099932</t>
  </si>
  <si>
    <t>RV/17/2/HDO/00099933</t>
  </si>
  <si>
    <t>RV/17/2/HDO/00099934</t>
  </si>
  <si>
    <t>RV/17/2/HDO/00099935</t>
  </si>
  <si>
    <t>RV/17/2/HDO/00099936</t>
  </si>
  <si>
    <t>RV/17/2/HDO/00099937</t>
  </si>
  <si>
    <t>RV/17/2/HDO/00099938</t>
  </si>
  <si>
    <t>RV/17/2/HDO/00099939</t>
  </si>
  <si>
    <t>RV/17/2/HDO/00099940</t>
  </si>
  <si>
    <t>RV/17/2/HDO/00099941</t>
  </si>
  <si>
    <t>RV/17/2/HDO/00099942</t>
  </si>
  <si>
    <t>RV/17/2/HDO/00099943</t>
  </si>
  <si>
    <t>RV/17/2/HDO/00099944</t>
  </si>
  <si>
    <t>RV/17/2/HDO/00099945</t>
  </si>
  <si>
    <t>RV/17/2/HDO/00099946</t>
  </si>
  <si>
    <t>RV/17/2/HDO/00099947</t>
  </si>
  <si>
    <t>RV/17/2/HDO/00099948</t>
  </si>
  <si>
    <t>RV/17/2/HDO/00099949</t>
  </si>
  <si>
    <t>RV/17/2/HDO/00099950</t>
  </si>
  <si>
    <t>RV/17/2/HDO/00099951</t>
  </si>
  <si>
    <t>RV/17/2/HDO/00099952</t>
  </si>
  <si>
    <t>RV/17/2/HDO/00099953</t>
  </si>
  <si>
    <t>RV/17/2/HDO/00099954</t>
  </si>
  <si>
    <t>RV/17/2/HDO/00099955</t>
  </si>
  <si>
    <t>RV/17/2/HDO/00099956</t>
  </si>
  <si>
    <t>RV/17/2/HDO/00099957</t>
  </si>
  <si>
    <t>licy StatusFORFEITED</t>
  </si>
  <si>
    <t>tatusEXPIRED/MATURED</t>
  </si>
  <si>
    <t>RV/17/2/HDO/00099536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</si>
</sst>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333333"/>
      <name val="Verdan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omic Sans MS"/>
      <family val="4"/>
    </font>
    <font>
      <sz val="11"/>
      <color theme="1"/>
      <name val="Comic Sans MS"/>
      <family val="4"/>
    </font>
    <font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43" fontId="0" fillId="0" borderId="0" xfId="1" applyFo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2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1" xfId="0" applyNumberFormat="1" applyFont="1" applyBorder="1" applyAlignment="1">
      <alignment horizontal="center"/>
    </xf>
    <xf numFmtId="0" fontId="3" fillId="0" borderId="0" xfId="2" applyNumberFormat="1" applyFill="1" applyAlignment="1">
      <alignment horizontal="center"/>
    </xf>
    <xf numFmtId="4" fontId="0" fillId="0" borderId="0" xfId="0" applyNumberFormat="1"/>
    <xf numFmtId="15" fontId="9" fillId="0" borderId="0" xfId="0" applyNumberFormat="1" applyFont="1" applyFill="1" applyBorder="1" applyAlignment="1">
      <alignment horizontal="center"/>
    </xf>
    <xf numFmtId="0" fontId="10" fillId="0" borderId="0" xfId="0" quotePrefix="1" applyFont="1" applyFill="1" applyBorder="1" applyAlignment="1"/>
    <xf numFmtId="0" fontId="9" fillId="0" borderId="0" xfId="0" applyFont="1" applyFill="1" applyBorder="1" applyAlignment="1">
      <alignment horizontal="left"/>
    </xf>
    <xf numFmtId="43" fontId="9" fillId="0" borderId="0" xfId="1" applyFont="1" applyFill="1" applyBorder="1"/>
    <xf numFmtId="0" fontId="9" fillId="0" borderId="0" xfId="0" quotePrefix="1" applyFont="1" applyFill="1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11" fillId="3" borderId="3" xfId="3" applyNumberFormat="1" applyFont="1" applyFill="1" applyBorder="1" applyAlignment="1">
      <alignment horizontal="center"/>
    </xf>
    <xf numFmtId="49" fontId="11" fillId="3" borderId="4" xfId="3" applyNumberFormat="1" applyFont="1" applyFill="1" applyBorder="1" applyAlignment="1">
      <alignment horizontal="center"/>
    </xf>
    <xf numFmtId="49" fontId="11" fillId="3" borderId="4" xfId="4" applyNumberFormat="1" applyFont="1" applyFill="1" applyBorder="1" applyAlignment="1">
      <alignment horizontal="right"/>
    </xf>
    <xf numFmtId="49" fontId="11" fillId="3" borderId="4" xfId="5" applyNumberFormat="1" applyFont="1" applyFill="1" applyBorder="1" applyAlignment="1"/>
    <xf numFmtId="49" fontId="11" fillId="3" borderId="4" xfId="3" applyNumberFormat="1" applyFont="1" applyFill="1" applyBorder="1" applyAlignment="1"/>
    <xf numFmtId="49" fontId="11" fillId="3" borderId="4" xfId="3" applyNumberFormat="1" applyFont="1" applyFill="1" applyBorder="1" applyAlignment="1">
      <alignment horizontal="right"/>
    </xf>
    <xf numFmtId="49" fontId="11" fillId="3" borderId="4" xfId="3" applyNumberFormat="1" applyFont="1" applyFill="1" applyBorder="1" applyAlignment="1">
      <alignment horizontal="left"/>
    </xf>
    <xf numFmtId="49" fontId="11" fillId="3" borderId="5" xfId="3" applyNumberFormat="1" applyFont="1" applyFill="1" applyBorder="1" applyAlignment="1"/>
    <xf numFmtId="49" fontId="12" fillId="0" borderId="2" xfId="0" applyNumberFormat="1" applyFont="1" applyBorder="1" applyAlignment="1">
      <alignment horizontal="center"/>
    </xf>
    <xf numFmtId="49" fontId="11" fillId="0" borderId="2" xfId="3" applyNumberFormat="1" applyFont="1" applyBorder="1" applyAlignment="1">
      <alignment horizontal="center"/>
    </xf>
    <xf numFmtId="49" fontId="12" fillId="0" borderId="2" xfId="3" applyNumberFormat="1" applyFont="1" applyBorder="1" applyAlignment="1">
      <alignment horizontal="center"/>
    </xf>
    <xf numFmtId="49" fontId="11" fillId="0" borderId="2" xfId="2" applyNumberFormat="1" applyFont="1" applyFill="1" applyBorder="1"/>
    <xf numFmtId="49" fontId="11" fillId="0" borderId="2" xfId="2" applyNumberFormat="1" applyFont="1" applyFill="1" applyBorder="1" applyAlignment="1">
      <alignment horizontal="center"/>
    </xf>
    <xf numFmtId="49" fontId="12" fillId="0" borderId="2" xfId="0" applyNumberFormat="1" applyFont="1" applyBorder="1"/>
    <xf numFmtId="0" fontId="0" fillId="4" borderId="0" xfId="0" applyFill="1" applyBorder="1"/>
    <xf numFmtId="0" fontId="0" fillId="0" borderId="0" xfId="0" applyNumberFormat="1"/>
    <xf numFmtId="43" fontId="0" fillId="0" borderId="0" xfId="0" applyNumberFormat="1"/>
    <xf numFmtId="0" fontId="13" fillId="5" borderId="0" xfId="0" applyFont="1" applyFill="1" applyAlignment="1">
      <alignment vertical="center" wrapText="1"/>
    </xf>
    <xf numFmtId="4" fontId="13" fillId="5" borderId="0" xfId="0" applyNumberFormat="1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4" fontId="13" fillId="6" borderId="0" xfId="0" applyNumberFormat="1" applyFont="1" applyFill="1" applyAlignment="1">
      <alignment vertical="center" wrapText="1"/>
    </xf>
  </cellXfs>
  <cellStyles count="6">
    <cellStyle name="Comma" xfId="1" builtinId="3"/>
    <cellStyle name="Comma 3" xfId="4"/>
    <cellStyle name="Comma 3 63" xfId="5"/>
    <cellStyle name="Normal" xfId="0" builtinId="0"/>
    <cellStyle name="Normal 2" xfId="2"/>
    <cellStyle name="Normal 5 36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:O427"/>
  <sheetViews>
    <sheetView tabSelected="1" topLeftCell="C1" workbookViewId="0">
      <selection activeCell="J11" sqref="J11"/>
    </sheetView>
  </sheetViews>
  <sheetFormatPr defaultRowHeight="15" x14ac:dyDescent="0.25"/>
  <cols>
    <col min="3" max="3" width="10.7109375" bestFit="1" customWidth="1"/>
    <col min="4" max="4" width="13.140625" bestFit="1" customWidth="1"/>
    <col min="5" max="5" width="10" bestFit="1" customWidth="1"/>
    <col min="6" max="6" width="13.140625" bestFit="1" customWidth="1"/>
    <col min="7" max="7" width="10.42578125" bestFit="1" customWidth="1"/>
    <col min="9" max="9" width="22.7109375" bestFit="1" customWidth="1"/>
    <col min="10" max="10" width="48" bestFit="1" customWidth="1"/>
    <col min="11" max="11" width="19.85546875" bestFit="1" customWidth="1"/>
  </cols>
  <sheetData>
    <row r="2" spans="3:15" x14ac:dyDescent="0.25">
      <c r="C2" s="1">
        <v>42937</v>
      </c>
      <c r="D2" s="5" t="s">
        <v>2</v>
      </c>
      <c r="E2" s="3">
        <v>10000179</v>
      </c>
      <c r="F2" s="4">
        <v>1369</v>
      </c>
      <c r="G2" t="s">
        <v>0</v>
      </c>
      <c r="I2" t="s">
        <v>1934</v>
      </c>
      <c r="J2" s="2" t="s">
        <v>1</v>
      </c>
      <c r="K2" s="39" t="str">
        <f>SUBSTITUTE(TRIM(MID(H2,7,4)&amp;G2&amp;";RENEWAL")," ","")</f>
        <v>SDC127312;RENEWAL</v>
      </c>
      <c r="L2" s="39" t="str">
        <f>IF(ISERROR(SUBSTITUTE(SUBSTITUTE(K2,LEFT(K2,6),""),RIGHT(SUBSTITUTE(K2,LEFT(K2,6),""),10),"")*1)&amp;" ¦ "&amp;ISERROR(SUBSTITUTE(SUBSTITUTE(K2,LEFT(K2,7),""),RIGHT(SUBSTITUTE(K2,LEFT(K2,7),""),10),"")*1)="TRUE ¦ TRUE","ERROR","OK")</f>
        <v>OK</v>
      </c>
      <c r="M2" s="39" t="str">
        <f>IF(ISERROR(LEFT(K2,3)*1)=TRUE,"ERROR","OK")</f>
        <v>ERROR</v>
      </c>
      <c r="N2" s="39" t="str">
        <f>IF(RIGHT(K2,8)=";RENEWAL","OK","ERROR")</f>
        <v>OK</v>
      </c>
      <c r="O2" t="s">
        <v>697</v>
      </c>
    </row>
    <row r="3" spans="3:15" x14ac:dyDescent="0.25">
      <c r="C3" s="1">
        <v>42937</v>
      </c>
      <c r="D3" s="5" t="s">
        <v>2</v>
      </c>
      <c r="E3" s="3">
        <v>10003794</v>
      </c>
      <c r="F3" s="4">
        <v>1758</v>
      </c>
      <c r="G3" t="s">
        <v>3</v>
      </c>
      <c r="I3" t="s">
        <v>1620</v>
      </c>
      <c r="J3" s="2">
        <v>10003794</v>
      </c>
      <c r="K3" s="39" t="str">
        <f t="shared" ref="K3:K66" si="0">SUBSTITUTE(TRIM(MID(H3,7,4)&amp;G3&amp;";RENEWAL")," ","")</f>
        <v>SDC186280;RENEWAL</v>
      </c>
      <c r="L3" s="39" t="str">
        <f t="shared" ref="L3:L66" si="1">IF(ISERROR(SUBSTITUTE(SUBSTITUTE(K3,LEFT(K3,6),""),RIGHT(SUBSTITUTE(K3,LEFT(K3,6),""),10),"")*1)&amp;" ¦ "&amp;ISERROR(SUBSTITUTE(SUBSTITUTE(K3,LEFT(K3,7),""),RIGHT(SUBSTITUTE(K3,LEFT(K3,7),""),10),"")*1)="TRUE ¦ TRUE","ERROR","OK")</f>
        <v>OK</v>
      </c>
      <c r="M3" s="39" t="str">
        <f t="shared" ref="M3:M66" si="2">IF(ISERROR(LEFT(K3,3)*1)=TRUE,"ERROR","OK")</f>
        <v>ERROR</v>
      </c>
      <c r="N3" s="39" t="str">
        <f t="shared" ref="N3:N66" si="3">IF(RIGHT(K3,8)=";RENEWAL","OK","ERROR")</f>
        <v>OK</v>
      </c>
      <c r="O3" t="s">
        <v>697</v>
      </c>
    </row>
    <row r="4" spans="3:15" x14ac:dyDescent="0.25">
      <c r="C4" s="1">
        <v>42937</v>
      </c>
      <c r="D4" s="5" t="s">
        <v>2</v>
      </c>
      <c r="E4" s="3">
        <v>10007097</v>
      </c>
      <c r="F4" s="4">
        <v>1266</v>
      </c>
      <c r="G4" t="s">
        <v>4</v>
      </c>
      <c r="I4" t="s">
        <v>1731</v>
      </c>
      <c r="J4" s="2" t="s">
        <v>5</v>
      </c>
      <c r="K4" s="39" t="str">
        <f t="shared" si="0"/>
        <v>SDC109024;RENEWAL</v>
      </c>
      <c r="L4" s="39" t="str">
        <f t="shared" si="1"/>
        <v>OK</v>
      </c>
      <c r="M4" s="39" t="str">
        <f t="shared" si="2"/>
        <v>ERROR</v>
      </c>
      <c r="N4" s="39" t="str">
        <f t="shared" si="3"/>
        <v>OK</v>
      </c>
      <c r="O4" t="s">
        <v>697</v>
      </c>
    </row>
    <row r="5" spans="3:15" x14ac:dyDescent="0.25">
      <c r="C5" s="1">
        <v>42937</v>
      </c>
      <c r="D5" s="5" t="s">
        <v>2</v>
      </c>
      <c r="E5" s="3">
        <v>10013235</v>
      </c>
      <c r="F5" s="4">
        <v>1532</v>
      </c>
      <c r="G5" t="s">
        <v>6</v>
      </c>
      <c r="I5" t="s">
        <v>1841</v>
      </c>
      <c r="J5" s="2" t="s">
        <v>7</v>
      </c>
      <c r="K5" s="39" t="str">
        <f t="shared" si="0"/>
        <v>SDC113352;RENEWAL</v>
      </c>
      <c r="L5" s="39" t="str">
        <f t="shared" si="1"/>
        <v>OK</v>
      </c>
      <c r="M5" s="39" t="str">
        <f t="shared" si="2"/>
        <v>ERROR</v>
      </c>
      <c r="N5" s="39" t="str">
        <f t="shared" si="3"/>
        <v>OK</v>
      </c>
      <c r="O5" t="s">
        <v>697</v>
      </c>
    </row>
    <row r="6" spans="3:15" x14ac:dyDescent="0.25">
      <c r="C6" s="1">
        <v>42937</v>
      </c>
      <c r="D6" s="5" t="s">
        <v>2</v>
      </c>
      <c r="E6" s="3">
        <v>10014359</v>
      </c>
      <c r="F6" s="4">
        <v>3000</v>
      </c>
      <c r="G6" t="s">
        <v>8</v>
      </c>
      <c r="I6" t="s">
        <v>1878</v>
      </c>
      <c r="J6" s="2" t="s">
        <v>9</v>
      </c>
      <c r="K6" s="39" t="str">
        <f t="shared" si="0"/>
        <v>SDC105959;RENEWAL</v>
      </c>
      <c r="L6" s="39" t="str">
        <f t="shared" si="1"/>
        <v>OK</v>
      </c>
      <c r="M6" s="39" t="str">
        <f t="shared" si="2"/>
        <v>ERROR</v>
      </c>
      <c r="N6" s="39" t="str">
        <f t="shared" si="3"/>
        <v>OK</v>
      </c>
      <c r="O6" t="s">
        <v>697</v>
      </c>
    </row>
    <row r="7" spans="3:15" x14ac:dyDescent="0.25">
      <c r="C7" s="1">
        <v>42937</v>
      </c>
      <c r="D7" s="5" t="s">
        <v>2</v>
      </c>
      <c r="E7" s="3">
        <v>10015333</v>
      </c>
      <c r="F7" s="4">
        <v>2197</v>
      </c>
      <c r="G7" t="s">
        <v>10</v>
      </c>
      <c r="I7" t="s">
        <v>1889</v>
      </c>
      <c r="J7" s="2">
        <v>10015333</v>
      </c>
      <c r="K7" s="39" t="str">
        <f t="shared" si="0"/>
        <v>SDC132296;RENEWAL</v>
      </c>
      <c r="L7" s="39" t="str">
        <f t="shared" si="1"/>
        <v>OK</v>
      </c>
      <c r="M7" s="39" t="str">
        <f t="shared" si="2"/>
        <v>ERROR</v>
      </c>
      <c r="N7" s="39" t="str">
        <f t="shared" si="3"/>
        <v>OK</v>
      </c>
      <c r="O7" t="s">
        <v>697</v>
      </c>
    </row>
    <row r="8" spans="3:15" x14ac:dyDescent="0.25">
      <c r="C8" s="1">
        <v>42937</v>
      </c>
      <c r="D8" s="5" t="s">
        <v>2</v>
      </c>
      <c r="E8" s="3">
        <v>10017421</v>
      </c>
      <c r="F8" s="4">
        <v>2001</v>
      </c>
      <c r="G8" t="s">
        <v>11</v>
      </c>
      <c r="I8" t="s">
        <v>1900</v>
      </c>
      <c r="J8" s="2">
        <v>10017421</v>
      </c>
      <c r="K8" s="39" t="str">
        <f t="shared" si="0"/>
        <v>SDC110055;RENEWAL</v>
      </c>
      <c r="L8" s="39" t="str">
        <f t="shared" si="1"/>
        <v>OK</v>
      </c>
      <c r="M8" s="39" t="str">
        <f t="shared" si="2"/>
        <v>ERROR</v>
      </c>
      <c r="N8" s="39" t="str">
        <f t="shared" si="3"/>
        <v>OK</v>
      </c>
      <c r="O8" t="s">
        <v>697</v>
      </c>
    </row>
    <row r="9" spans="3:15" x14ac:dyDescent="0.25">
      <c r="C9" s="1">
        <v>42937</v>
      </c>
      <c r="D9" s="5" t="s">
        <v>2</v>
      </c>
      <c r="E9" s="3">
        <v>10017877</v>
      </c>
      <c r="F9" s="4">
        <v>1999</v>
      </c>
      <c r="G9" t="s">
        <v>12</v>
      </c>
      <c r="I9" t="s">
        <v>1911</v>
      </c>
      <c r="J9" s="2" t="s">
        <v>13</v>
      </c>
      <c r="K9" s="39" t="str">
        <f t="shared" si="0"/>
        <v>SDC137040;RENEWAL</v>
      </c>
      <c r="L9" s="39" t="str">
        <f t="shared" si="1"/>
        <v>OK</v>
      </c>
      <c r="M9" s="39" t="str">
        <f t="shared" si="2"/>
        <v>ERROR</v>
      </c>
      <c r="N9" s="39" t="str">
        <f t="shared" si="3"/>
        <v>OK</v>
      </c>
      <c r="O9" t="s">
        <v>697</v>
      </c>
    </row>
    <row r="10" spans="3:15" x14ac:dyDescent="0.25">
      <c r="C10" s="1">
        <v>42937</v>
      </c>
      <c r="D10" s="5" t="s">
        <v>2</v>
      </c>
      <c r="E10" s="3">
        <v>10021290</v>
      </c>
      <c r="F10" s="4">
        <v>3040</v>
      </c>
      <c r="G10" t="s">
        <v>14</v>
      </c>
      <c r="I10" t="s">
        <v>1922</v>
      </c>
      <c r="J10" s="2">
        <v>10021290</v>
      </c>
      <c r="K10" s="39" t="str">
        <f t="shared" si="0"/>
        <v>SDC209568;RENEWAL</v>
      </c>
      <c r="L10" s="39" t="str">
        <f t="shared" si="1"/>
        <v>OK</v>
      </c>
      <c r="M10" s="39" t="str">
        <f t="shared" si="2"/>
        <v>ERROR</v>
      </c>
      <c r="N10" s="39" t="str">
        <f t="shared" si="3"/>
        <v>OK</v>
      </c>
      <c r="O10" t="s">
        <v>697</v>
      </c>
    </row>
    <row r="11" spans="3:15" x14ac:dyDescent="0.25">
      <c r="C11" s="1">
        <v>42937</v>
      </c>
      <c r="D11" s="5" t="s">
        <v>2</v>
      </c>
      <c r="E11" s="6">
        <v>10030043</v>
      </c>
      <c r="F11" s="4">
        <v>2325</v>
      </c>
      <c r="G11" t="s">
        <v>15</v>
      </c>
      <c r="I11" t="s">
        <v>1935</v>
      </c>
      <c r="J11" s="2" t="s">
        <v>16</v>
      </c>
      <c r="K11" s="39" t="str">
        <f t="shared" si="0"/>
        <v>SDC137152;RENEWAL</v>
      </c>
      <c r="L11" s="39" t="str">
        <f t="shared" si="1"/>
        <v>OK</v>
      </c>
      <c r="M11" s="39" t="str">
        <f t="shared" si="2"/>
        <v>ERROR</v>
      </c>
      <c r="N11" s="39" t="str">
        <f t="shared" si="3"/>
        <v>OK</v>
      </c>
      <c r="O11" t="s">
        <v>697</v>
      </c>
    </row>
    <row r="12" spans="3:15" x14ac:dyDescent="0.25">
      <c r="C12" s="1">
        <v>42937</v>
      </c>
      <c r="D12" s="5" t="s">
        <v>2</v>
      </c>
      <c r="E12" s="3">
        <v>10033169</v>
      </c>
      <c r="F12" s="4">
        <v>1207</v>
      </c>
      <c r="G12" t="s">
        <v>17</v>
      </c>
      <c r="I12" t="s">
        <v>1522</v>
      </c>
      <c r="J12" s="2">
        <v>10033169</v>
      </c>
      <c r="K12" s="39" t="str">
        <f t="shared" si="0"/>
        <v>SDC176406;RENEWAL</v>
      </c>
      <c r="L12" s="39" t="str">
        <f t="shared" si="1"/>
        <v>OK</v>
      </c>
      <c r="M12" s="39" t="str">
        <f t="shared" si="2"/>
        <v>ERROR</v>
      </c>
      <c r="N12" s="39" t="str">
        <f t="shared" si="3"/>
        <v>OK</v>
      </c>
      <c r="O12" t="s">
        <v>697</v>
      </c>
    </row>
    <row r="13" spans="3:15" x14ac:dyDescent="0.25">
      <c r="C13" s="1">
        <v>42937</v>
      </c>
      <c r="D13" s="5" t="s">
        <v>2</v>
      </c>
      <c r="E13" s="3">
        <v>10036408</v>
      </c>
      <c r="F13" s="4">
        <v>3817</v>
      </c>
      <c r="G13" t="s">
        <v>18</v>
      </c>
      <c r="I13" t="s">
        <v>1533</v>
      </c>
      <c r="J13" s="2">
        <v>10036408</v>
      </c>
      <c r="K13" s="39" t="str">
        <f t="shared" si="0"/>
        <v>SDC160835;RENEWAL</v>
      </c>
      <c r="L13" s="39" t="str">
        <f t="shared" si="1"/>
        <v>OK</v>
      </c>
      <c r="M13" s="39" t="str">
        <f t="shared" si="2"/>
        <v>ERROR</v>
      </c>
      <c r="N13" s="39" t="str">
        <f t="shared" si="3"/>
        <v>OK</v>
      </c>
      <c r="O13" t="s">
        <v>697</v>
      </c>
    </row>
    <row r="14" spans="3:15" x14ac:dyDescent="0.25">
      <c r="C14" s="1">
        <v>42937</v>
      </c>
      <c r="D14" s="5" t="s">
        <v>2</v>
      </c>
      <c r="E14" s="3">
        <v>10038460</v>
      </c>
      <c r="F14" s="4">
        <v>1507</v>
      </c>
      <c r="G14" t="s">
        <v>19</v>
      </c>
      <c r="I14" t="s">
        <v>1544</v>
      </c>
      <c r="J14" s="2">
        <v>10038460</v>
      </c>
      <c r="K14" s="39" t="str">
        <f t="shared" si="0"/>
        <v>SDC189749;RENEWAL</v>
      </c>
      <c r="L14" s="39" t="str">
        <f t="shared" si="1"/>
        <v>OK</v>
      </c>
      <c r="M14" s="39" t="str">
        <f t="shared" si="2"/>
        <v>ERROR</v>
      </c>
      <c r="N14" s="39" t="str">
        <f t="shared" si="3"/>
        <v>OK</v>
      </c>
      <c r="O14" t="s">
        <v>697</v>
      </c>
    </row>
    <row r="15" spans="3:15" x14ac:dyDescent="0.25">
      <c r="C15" s="1">
        <v>42937</v>
      </c>
      <c r="D15" s="5" t="s">
        <v>2</v>
      </c>
      <c r="E15" s="3">
        <v>10042680</v>
      </c>
      <c r="F15" s="4">
        <v>1001</v>
      </c>
      <c r="G15" t="s">
        <v>20</v>
      </c>
      <c r="I15" t="s">
        <v>1555</v>
      </c>
      <c r="J15" s="2" t="s">
        <v>21</v>
      </c>
      <c r="K15" s="39" t="str">
        <f t="shared" si="0"/>
        <v>SDC110010;RENEWAL</v>
      </c>
      <c r="L15" s="39" t="str">
        <f t="shared" si="1"/>
        <v>OK</v>
      </c>
      <c r="M15" s="39" t="str">
        <f t="shared" si="2"/>
        <v>ERROR</v>
      </c>
      <c r="N15" s="39" t="str">
        <f t="shared" si="3"/>
        <v>OK</v>
      </c>
      <c r="O15" t="s">
        <v>697</v>
      </c>
    </row>
    <row r="16" spans="3:15" x14ac:dyDescent="0.25">
      <c r="C16" s="1">
        <v>42937</v>
      </c>
      <c r="D16" s="5" t="s">
        <v>2</v>
      </c>
      <c r="E16" s="3">
        <v>10049109</v>
      </c>
      <c r="F16" s="4">
        <v>1521</v>
      </c>
      <c r="G16" t="s">
        <v>22</v>
      </c>
      <c r="I16" t="s">
        <v>1566</v>
      </c>
      <c r="J16" s="2" t="s">
        <v>23</v>
      </c>
      <c r="K16" s="39" t="str">
        <f t="shared" si="0"/>
        <v>SDC115670;RENEWAL</v>
      </c>
      <c r="L16" s="39" t="str">
        <f t="shared" si="1"/>
        <v>OK</v>
      </c>
      <c r="M16" s="39" t="str">
        <f t="shared" si="2"/>
        <v>ERROR</v>
      </c>
      <c r="N16" s="39" t="str">
        <f t="shared" si="3"/>
        <v>OK</v>
      </c>
      <c r="O16" t="s">
        <v>697</v>
      </c>
    </row>
    <row r="17" spans="3:15" x14ac:dyDescent="0.25">
      <c r="C17" s="1">
        <v>42937</v>
      </c>
      <c r="D17" s="5" t="s">
        <v>2</v>
      </c>
      <c r="E17" s="3">
        <v>10050105</v>
      </c>
      <c r="F17" s="4">
        <v>5200</v>
      </c>
      <c r="G17" t="s">
        <v>24</v>
      </c>
      <c r="I17" t="s">
        <v>1577</v>
      </c>
      <c r="J17" s="2">
        <v>10050105</v>
      </c>
      <c r="K17" s="39" t="str">
        <f t="shared" si="0"/>
        <v>SDC214317;RENEWAL</v>
      </c>
      <c r="L17" s="39" t="str">
        <f t="shared" si="1"/>
        <v>OK</v>
      </c>
      <c r="M17" s="39" t="str">
        <f t="shared" si="2"/>
        <v>ERROR</v>
      </c>
      <c r="N17" s="39" t="str">
        <f t="shared" si="3"/>
        <v>OK</v>
      </c>
      <c r="O17" t="s">
        <v>697</v>
      </c>
    </row>
    <row r="18" spans="3:15" x14ac:dyDescent="0.25">
      <c r="C18" s="1">
        <v>42937</v>
      </c>
      <c r="D18" s="5" t="s">
        <v>2</v>
      </c>
      <c r="E18" s="3">
        <v>10051643</v>
      </c>
      <c r="F18" s="4">
        <v>2238</v>
      </c>
      <c r="G18" t="s">
        <v>25</v>
      </c>
      <c r="I18" t="s">
        <v>1588</v>
      </c>
      <c r="J18" s="2">
        <v>10051643</v>
      </c>
      <c r="K18" s="39" t="str">
        <f t="shared" si="0"/>
        <v>SDC123167;RENEWAL</v>
      </c>
      <c r="L18" s="39" t="str">
        <f t="shared" si="1"/>
        <v>OK</v>
      </c>
      <c r="M18" s="39" t="str">
        <f t="shared" si="2"/>
        <v>ERROR</v>
      </c>
      <c r="N18" s="39" t="str">
        <f t="shared" si="3"/>
        <v>OK</v>
      </c>
      <c r="O18" t="s">
        <v>697</v>
      </c>
    </row>
    <row r="19" spans="3:15" x14ac:dyDescent="0.25">
      <c r="C19" s="1">
        <v>42937</v>
      </c>
      <c r="D19" s="5" t="s">
        <v>2</v>
      </c>
      <c r="E19" s="3">
        <v>10056478</v>
      </c>
      <c r="F19" s="4">
        <v>2400</v>
      </c>
      <c r="G19" t="s">
        <v>26</v>
      </c>
      <c r="I19" t="s">
        <v>1598</v>
      </c>
      <c r="J19" s="2">
        <v>10056478</v>
      </c>
      <c r="K19" s="39" t="str">
        <f t="shared" si="0"/>
        <v>SDC180465;RENEWAL</v>
      </c>
      <c r="L19" s="39" t="str">
        <f t="shared" si="1"/>
        <v>OK</v>
      </c>
      <c r="M19" s="39" t="str">
        <f t="shared" si="2"/>
        <v>ERROR</v>
      </c>
      <c r="N19" s="39" t="str">
        <f t="shared" si="3"/>
        <v>OK</v>
      </c>
      <c r="O19" t="s">
        <v>697</v>
      </c>
    </row>
    <row r="20" spans="3:15" x14ac:dyDescent="0.25">
      <c r="C20" s="1">
        <v>42937</v>
      </c>
      <c r="D20" s="5" t="s">
        <v>2</v>
      </c>
      <c r="E20" s="3">
        <v>10059957</v>
      </c>
      <c r="F20" s="4">
        <v>1000</v>
      </c>
      <c r="G20" t="s">
        <v>27</v>
      </c>
      <c r="I20" t="s">
        <v>1609</v>
      </c>
      <c r="J20" s="2">
        <v>10059957</v>
      </c>
      <c r="K20" s="39" t="str">
        <f t="shared" si="0"/>
        <v>SDC203596;RENEWAL</v>
      </c>
      <c r="L20" s="39" t="str">
        <f t="shared" si="1"/>
        <v>OK</v>
      </c>
      <c r="M20" s="39" t="str">
        <f t="shared" si="2"/>
        <v>ERROR</v>
      </c>
      <c r="N20" s="39" t="str">
        <f t="shared" si="3"/>
        <v>OK</v>
      </c>
      <c r="O20" t="s">
        <v>697</v>
      </c>
    </row>
    <row r="21" spans="3:15" x14ac:dyDescent="0.25">
      <c r="C21" s="1">
        <v>42937</v>
      </c>
      <c r="D21" s="5" t="s">
        <v>2</v>
      </c>
      <c r="E21" s="3">
        <v>10060201</v>
      </c>
      <c r="F21" s="4">
        <v>1340</v>
      </c>
      <c r="G21" t="s">
        <v>28</v>
      </c>
      <c r="I21" t="s">
        <v>1621</v>
      </c>
      <c r="J21" s="2">
        <v>10060201</v>
      </c>
      <c r="K21" s="39" t="str">
        <f t="shared" si="0"/>
        <v>SDC179016;RENEWAL</v>
      </c>
      <c r="L21" s="39" t="str">
        <f t="shared" si="1"/>
        <v>OK</v>
      </c>
      <c r="M21" s="39" t="str">
        <f t="shared" si="2"/>
        <v>ERROR</v>
      </c>
      <c r="N21" s="39" t="str">
        <f t="shared" si="3"/>
        <v>OK</v>
      </c>
      <c r="O21" t="s">
        <v>697</v>
      </c>
    </row>
    <row r="22" spans="3:15" x14ac:dyDescent="0.25">
      <c r="C22" s="1">
        <v>42937</v>
      </c>
      <c r="D22" s="5" t="s">
        <v>2</v>
      </c>
      <c r="E22" s="3">
        <v>10062144</v>
      </c>
      <c r="F22" s="4">
        <v>4500</v>
      </c>
      <c r="G22" t="s">
        <v>29</v>
      </c>
      <c r="I22" t="s">
        <v>1632</v>
      </c>
      <c r="J22" s="2">
        <v>10062144</v>
      </c>
      <c r="K22" s="39" t="str">
        <f t="shared" si="0"/>
        <v>SDC206933;RENEWAL</v>
      </c>
      <c r="L22" s="39" t="str">
        <f t="shared" si="1"/>
        <v>OK</v>
      </c>
      <c r="M22" s="39" t="str">
        <f t="shared" si="2"/>
        <v>ERROR</v>
      </c>
      <c r="N22" s="39" t="str">
        <f t="shared" si="3"/>
        <v>OK</v>
      </c>
      <c r="O22" t="s">
        <v>697</v>
      </c>
    </row>
    <row r="23" spans="3:15" x14ac:dyDescent="0.25">
      <c r="C23" s="1">
        <v>42937</v>
      </c>
      <c r="D23" s="5" t="s">
        <v>2</v>
      </c>
      <c r="E23" s="3">
        <v>10062704</v>
      </c>
      <c r="F23" s="4">
        <v>2120</v>
      </c>
      <c r="G23" t="s">
        <v>30</v>
      </c>
      <c r="I23" t="s">
        <v>1643</v>
      </c>
      <c r="J23" s="2">
        <v>10062704</v>
      </c>
      <c r="K23" s="39" t="str">
        <f t="shared" si="0"/>
        <v>SDC167747;RENEWAL</v>
      </c>
      <c r="L23" s="39" t="str">
        <f t="shared" si="1"/>
        <v>OK</v>
      </c>
      <c r="M23" s="39" t="str">
        <f t="shared" si="2"/>
        <v>ERROR</v>
      </c>
      <c r="N23" s="39" t="str">
        <f t="shared" si="3"/>
        <v>OK</v>
      </c>
      <c r="O23" t="s">
        <v>697</v>
      </c>
    </row>
    <row r="24" spans="3:15" x14ac:dyDescent="0.25">
      <c r="C24" s="1">
        <v>42937</v>
      </c>
      <c r="D24" s="5" t="s">
        <v>2</v>
      </c>
      <c r="E24" s="3">
        <v>10064992</v>
      </c>
      <c r="F24" s="4">
        <v>1125</v>
      </c>
      <c r="G24" t="s">
        <v>31</v>
      </c>
      <c r="I24" t="s">
        <v>1654</v>
      </c>
      <c r="J24" s="2" t="s">
        <v>32</v>
      </c>
      <c r="K24" s="39" t="str">
        <f t="shared" si="0"/>
        <v>SDC178803;RENEWAL</v>
      </c>
      <c r="L24" s="39" t="str">
        <f t="shared" si="1"/>
        <v>OK</v>
      </c>
      <c r="M24" s="39" t="str">
        <f t="shared" si="2"/>
        <v>ERROR</v>
      </c>
      <c r="N24" s="39" t="str">
        <f t="shared" si="3"/>
        <v>OK</v>
      </c>
      <c r="O24" t="s">
        <v>697</v>
      </c>
    </row>
    <row r="25" spans="3:15" x14ac:dyDescent="0.25">
      <c r="C25" s="1">
        <v>42937</v>
      </c>
      <c r="D25" s="5" t="s">
        <v>2</v>
      </c>
      <c r="E25" s="3">
        <v>10068251</v>
      </c>
      <c r="F25" s="4">
        <v>1238</v>
      </c>
      <c r="G25" t="s">
        <v>33</v>
      </c>
      <c r="I25" t="s">
        <v>1665</v>
      </c>
      <c r="J25" s="2">
        <v>10068251</v>
      </c>
      <c r="K25" s="39" t="str">
        <f t="shared" si="0"/>
        <v>SDC213542;RENEWAL</v>
      </c>
      <c r="L25" s="39" t="str">
        <f t="shared" si="1"/>
        <v>OK</v>
      </c>
      <c r="M25" s="39" t="str">
        <f t="shared" si="2"/>
        <v>ERROR</v>
      </c>
      <c r="N25" s="39" t="str">
        <f t="shared" si="3"/>
        <v>OK</v>
      </c>
      <c r="O25" t="s">
        <v>697</v>
      </c>
    </row>
    <row r="26" spans="3:15" x14ac:dyDescent="0.25">
      <c r="C26" s="1">
        <v>42937</v>
      </c>
      <c r="D26" s="5" t="s">
        <v>2</v>
      </c>
      <c r="E26" s="6">
        <v>10068449</v>
      </c>
      <c r="F26" s="4">
        <v>7514</v>
      </c>
      <c r="G26" t="s">
        <v>34</v>
      </c>
      <c r="I26" t="s">
        <v>1676</v>
      </c>
      <c r="J26" s="2" t="s">
        <v>35</v>
      </c>
      <c r="K26" s="39" t="str">
        <f t="shared" si="0"/>
        <v>SDC128371;RENEWAL</v>
      </c>
      <c r="L26" s="39" t="str">
        <f t="shared" si="1"/>
        <v>OK</v>
      </c>
      <c r="M26" s="39" t="str">
        <f t="shared" si="2"/>
        <v>ERROR</v>
      </c>
      <c r="N26" s="39" t="str">
        <f t="shared" si="3"/>
        <v>OK</v>
      </c>
      <c r="O26" t="s">
        <v>697</v>
      </c>
    </row>
    <row r="27" spans="3:15" x14ac:dyDescent="0.25">
      <c r="C27" s="1">
        <v>42937</v>
      </c>
      <c r="D27" s="5" t="s">
        <v>2</v>
      </c>
      <c r="E27" s="3">
        <v>10070345</v>
      </c>
      <c r="F27" s="4">
        <v>6120</v>
      </c>
      <c r="G27" t="s">
        <v>36</v>
      </c>
      <c r="I27" t="s">
        <v>1687</v>
      </c>
      <c r="J27" s="2">
        <v>10070345</v>
      </c>
      <c r="K27" s="39" t="str">
        <f t="shared" si="0"/>
        <v>SDC198739;RENEWAL</v>
      </c>
      <c r="L27" s="39" t="str">
        <f t="shared" si="1"/>
        <v>OK</v>
      </c>
      <c r="M27" s="39" t="str">
        <f t="shared" si="2"/>
        <v>ERROR</v>
      </c>
      <c r="N27" s="39" t="str">
        <f t="shared" si="3"/>
        <v>OK</v>
      </c>
      <c r="O27" t="s">
        <v>697</v>
      </c>
    </row>
    <row r="28" spans="3:15" x14ac:dyDescent="0.25">
      <c r="C28" s="1">
        <v>42937</v>
      </c>
      <c r="D28" s="5" t="s">
        <v>2</v>
      </c>
      <c r="E28" s="3">
        <v>10070374</v>
      </c>
      <c r="F28" s="4">
        <v>1002</v>
      </c>
      <c r="G28" t="s">
        <v>37</v>
      </c>
      <c r="I28" t="s">
        <v>1698</v>
      </c>
      <c r="J28" s="2">
        <v>10070374</v>
      </c>
      <c r="K28" s="39" t="str">
        <f t="shared" si="0"/>
        <v>SDC200519;RENEWAL</v>
      </c>
      <c r="L28" s="39" t="str">
        <f t="shared" si="1"/>
        <v>OK</v>
      </c>
      <c r="M28" s="39" t="str">
        <f t="shared" si="2"/>
        <v>ERROR</v>
      </c>
      <c r="N28" s="39" t="str">
        <f t="shared" si="3"/>
        <v>OK</v>
      </c>
      <c r="O28" t="s">
        <v>697</v>
      </c>
    </row>
    <row r="29" spans="3:15" x14ac:dyDescent="0.25">
      <c r="C29" s="1">
        <v>42937</v>
      </c>
      <c r="D29" s="5" t="s">
        <v>2</v>
      </c>
      <c r="E29" s="3">
        <v>10073042</v>
      </c>
      <c r="F29" s="4">
        <v>952</v>
      </c>
      <c r="G29" t="s">
        <v>38</v>
      </c>
      <c r="I29" t="s">
        <v>1709</v>
      </c>
      <c r="J29" s="2">
        <v>10073042</v>
      </c>
      <c r="K29" s="39" t="str">
        <f t="shared" si="0"/>
        <v>SDC213773;RENEWAL</v>
      </c>
      <c r="L29" s="39" t="str">
        <f t="shared" si="1"/>
        <v>OK</v>
      </c>
      <c r="M29" s="39" t="str">
        <f t="shared" si="2"/>
        <v>ERROR</v>
      </c>
      <c r="N29" s="39" t="str">
        <f t="shared" si="3"/>
        <v>OK</v>
      </c>
      <c r="O29" t="s">
        <v>697</v>
      </c>
    </row>
    <row r="30" spans="3:15" x14ac:dyDescent="0.25">
      <c r="C30" s="1">
        <v>42937</v>
      </c>
      <c r="D30" s="5" t="s">
        <v>2</v>
      </c>
      <c r="E30" s="3">
        <v>10078334</v>
      </c>
      <c r="F30" s="4">
        <v>2210</v>
      </c>
      <c r="G30" t="s">
        <v>39</v>
      </c>
      <c r="I30" t="s">
        <v>1720</v>
      </c>
      <c r="J30" s="2">
        <v>10078334</v>
      </c>
      <c r="K30" s="39" t="str">
        <f t="shared" si="0"/>
        <v>SDC169889;RENEWAL</v>
      </c>
      <c r="L30" s="39" t="str">
        <f t="shared" si="1"/>
        <v>OK</v>
      </c>
      <c r="M30" s="39" t="str">
        <f t="shared" si="2"/>
        <v>ERROR</v>
      </c>
      <c r="N30" s="39" t="str">
        <f t="shared" si="3"/>
        <v>OK</v>
      </c>
      <c r="O30" t="s">
        <v>697</v>
      </c>
    </row>
    <row r="31" spans="3:15" x14ac:dyDescent="0.25">
      <c r="C31" s="1">
        <v>42937</v>
      </c>
      <c r="D31" s="5" t="s">
        <v>2</v>
      </c>
      <c r="E31" s="3">
        <v>10078401</v>
      </c>
      <c r="F31" s="4">
        <v>644</v>
      </c>
      <c r="G31" t="s">
        <v>40</v>
      </c>
      <c r="I31" t="s">
        <v>1732</v>
      </c>
      <c r="J31" s="2">
        <v>10078401</v>
      </c>
      <c r="K31" s="39" t="str">
        <f t="shared" si="0"/>
        <v>SDC168844;RENEWAL</v>
      </c>
      <c r="L31" s="39" t="str">
        <f t="shared" si="1"/>
        <v>OK</v>
      </c>
      <c r="M31" s="39" t="str">
        <f t="shared" si="2"/>
        <v>ERROR</v>
      </c>
      <c r="N31" s="39" t="str">
        <f t="shared" si="3"/>
        <v>OK</v>
      </c>
      <c r="O31" t="s">
        <v>697</v>
      </c>
    </row>
    <row r="32" spans="3:15" x14ac:dyDescent="0.25">
      <c r="C32" s="1">
        <v>42937</v>
      </c>
      <c r="D32" s="5" t="s">
        <v>2</v>
      </c>
      <c r="E32" s="3">
        <v>10079249</v>
      </c>
      <c r="F32" s="4">
        <v>12743</v>
      </c>
      <c r="G32" t="s">
        <v>41</v>
      </c>
      <c r="I32" t="s">
        <v>1743</v>
      </c>
      <c r="J32" s="2">
        <v>10079249</v>
      </c>
      <c r="K32" s="39" t="str">
        <f t="shared" si="0"/>
        <v>SDC131065;RENEWAL</v>
      </c>
      <c r="L32" s="39" t="str">
        <f t="shared" si="1"/>
        <v>OK</v>
      </c>
      <c r="M32" s="39" t="str">
        <f t="shared" si="2"/>
        <v>ERROR</v>
      </c>
      <c r="N32" s="39" t="str">
        <f t="shared" si="3"/>
        <v>OK</v>
      </c>
      <c r="O32" t="s">
        <v>697</v>
      </c>
    </row>
    <row r="33" spans="3:15" x14ac:dyDescent="0.25">
      <c r="C33" s="1">
        <v>42937</v>
      </c>
      <c r="D33" s="5" t="s">
        <v>2</v>
      </c>
      <c r="E33" s="3">
        <v>10081453</v>
      </c>
      <c r="F33" s="4">
        <v>1642</v>
      </c>
      <c r="G33" t="s">
        <v>42</v>
      </c>
      <c r="I33" t="s">
        <v>1754</v>
      </c>
      <c r="J33" s="2">
        <v>10081453</v>
      </c>
      <c r="K33" s="39" t="str">
        <f t="shared" si="0"/>
        <v>SDC180705;RENEWAL</v>
      </c>
      <c r="L33" s="39" t="str">
        <f t="shared" si="1"/>
        <v>OK</v>
      </c>
      <c r="M33" s="39" t="str">
        <f t="shared" si="2"/>
        <v>ERROR</v>
      </c>
      <c r="N33" s="39" t="str">
        <f t="shared" si="3"/>
        <v>OK</v>
      </c>
      <c r="O33" t="s">
        <v>697</v>
      </c>
    </row>
    <row r="34" spans="3:15" x14ac:dyDescent="0.25">
      <c r="C34" s="1">
        <v>42937</v>
      </c>
      <c r="D34" s="5" t="s">
        <v>2</v>
      </c>
      <c r="E34" s="3">
        <v>10102216</v>
      </c>
      <c r="F34" s="4">
        <v>2100</v>
      </c>
      <c r="G34" t="s">
        <v>43</v>
      </c>
      <c r="I34" t="s">
        <v>1765</v>
      </c>
      <c r="J34" s="2">
        <v>10102216</v>
      </c>
      <c r="K34" s="39" t="str">
        <f t="shared" si="0"/>
        <v>SDC168864;RENEWAL</v>
      </c>
      <c r="L34" s="39" t="str">
        <f t="shared" si="1"/>
        <v>OK</v>
      </c>
      <c r="M34" s="39" t="str">
        <f t="shared" si="2"/>
        <v>ERROR</v>
      </c>
      <c r="N34" s="39" t="str">
        <f t="shared" si="3"/>
        <v>OK</v>
      </c>
      <c r="O34" t="s">
        <v>697</v>
      </c>
    </row>
    <row r="35" spans="3:15" x14ac:dyDescent="0.25">
      <c r="C35" s="1">
        <v>42937</v>
      </c>
      <c r="D35" s="5" t="s">
        <v>2</v>
      </c>
      <c r="E35" s="3">
        <v>10102296</v>
      </c>
      <c r="F35" s="4">
        <v>1237</v>
      </c>
      <c r="G35" t="s">
        <v>44</v>
      </c>
      <c r="I35" t="s">
        <v>1776</v>
      </c>
      <c r="J35" s="2" t="s">
        <v>45</v>
      </c>
      <c r="K35" s="39" t="str">
        <f t="shared" si="0"/>
        <v>SDC115502;RENEWAL</v>
      </c>
      <c r="L35" s="39" t="str">
        <f t="shared" si="1"/>
        <v>OK</v>
      </c>
      <c r="M35" s="39" t="str">
        <f t="shared" si="2"/>
        <v>ERROR</v>
      </c>
      <c r="N35" s="39" t="str">
        <f t="shared" si="3"/>
        <v>OK</v>
      </c>
      <c r="O35" t="s">
        <v>697</v>
      </c>
    </row>
    <row r="36" spans="3:15" x14ac:dyDescent="0.25">
      <c r="C36" s="1">
        <v>42937</v>
      </c>
      <c r="D36" s="5" t="s">
        <v>2</v>
      </c>
      <c r="E36" s="3">
        <v>10106429</v>
      </c>
      <c r="F36" s="4">
        <v>4476</v>
      </c>
      <c r="G36" t="s">
        <v>46</v>
      </c>
      <c r="I36" t="s">
        <v>1786</v>
      </c>
      <c r="J36" s="2" t="s">
        <v>47</v>
      </c>
      <c r="K36" s="39" t="str">
        <f t="shared" si="0"/>
        <v>SDC198052;RENEWAL</v>
      </c>
      <c r="L36" s="39" t="str">
        <f t="shared" si="1"/>
        <v>OK</v>
      </c>
      <c r="M36" s="39" t="str">
        <f t="shared" si="2"/>
        <v>ERROR</v>
      </c>
      <c r="N36" s="39" t="str">
        <f t="shared" si="3"/>
        <v>OK</v>
      </c>
      <c r="O36" t="s">
        <v>697</v>
      </c>
    </row>
    <row r="37" spans="3:15" x14ac:dyDescent="0.25">
      <c r="C37" s="1">
        <v>42937</v>
      </c>
      <c r="D37" s="5" t="s">
        <v>2</v>
      </c>
      <c r="E37" s="3">
        <v>10107752</v>
      </c>
      <c r="F37" s="4">
        <v>3047</v>
      </c>
      <c r="G37" t="s">
        <v>48</v>
      </c>
      <c r="I37" t="s">
        <v>1797</v>
      </c>
      <c r="J37" s="2" t="s">
        <v>49</v>
      </c>
      <c r="K37" s="39" t="str">
        <f t="shared" si="0"/>
        <v>SDC125128;RENEWAL</v>
      </c>
      <c r="L37" s="39" t="str">
        <f t="shared" si="1"/>
        <v>OK</v>
      </c>
      <c r="M37" s="39" t="str">
        <f t="shared" si="2"/>
        <v>ERROR</v>
      </c>
      <c r="N37" s="39" t="str">
        <f t="shared" si="3"/>
        <v>OK</v>
      </c>
      <c r="O37" t="s">
        <v>697</v>
      </c>
    </row>
    <row r="38" spans="3:15" x14ac:dyDescent="0.25">
      <c r="C38" s="1">
        <v>42937</v>
      </c>
      <c r="D38" s="5" t="s">
        <v>2</v>
      </c>
      <c r="E38" s="3">
        <v>10107824</v>
      </c>
      <c r="F38" s="4">
        <v>1584</v>
      </c>
      <c r="G38" t="s">
        <v>50</v>
      </c>
      <c r="I38" t="s">
        <v>1808</v>
      </c>
      <c r="J38" s="2">
        <v>10107824</v>
      </c>
      <c r="K38" s="39" t="str">
        <f t="shared" si="0"/>
        <v>SDC191977;RENEWAL</v>
      </c>
      <c r="L38" s="39" t="str">
        <f t="shared" si="1"/>
        <v>OK</v>
      </c>
      <c r="M38" s="39" t="str">
        <f t="shared" si="2"/>
        <v>ERROR</v>
      </c>
      <c r="N38" s="39" t="str">
        <f t="shared" si="3"/>
        <v>OK</v>
      </c>
      <c r="O38" t="s">
        <v>697</v>
      </c>
    </row>
    <row r="39" spans="3:15" x14ac:dyDescent="0.25">
      <c r="C39" s="1">
        <v>42937</v>
      </c>
      <c r="D39" s="5" t="s">
        <v>2</v>
      </c>
      <c r="E39" s="3">
        <v>10115649</v>
      </c>
      <c r="F39" s="4">
        <v>1062</v>
      </c>
      <c r="G39" t="s">
        <v>51</v>
      </c>
      <c r="I39" t="s">
        <v>1819</v>
      </c>
      <c r="J39" s="2" t="s">
        <v>52</v>
      </c>
      <c r="K39" s="39" t="str">
        <f t="shared" si="0"/>
        <v>SDC207185;RENEWAL</v>
      </c>
      <c r="L39" s="39" t="str">
        <f t="shared" si="1"/>
        <v>OK</v>
      </c>
      <c r="M39" s="39" t="str">
        <f t="shared" si="2"/>
        <v>ERROR</v>
      </c>
      <c r="N39" s="39" t="str">
        <f t="shared" si="3"/>
        <v>OK</v>
      </c>
      <c r="O39" t="s">
        <v>697</v>
      </c>
    </row>
    <row r="40" spans="3:15" x14ac:dyDescent="0.25">
      <c r="C40" s="1">
        <v>42937</v>
      </c>
      <c r="D40" s="5" t="s">
        <v>2</v>
      </c>
      <c r="E40" s="3">
        <v>10118936</v>
      </c>
      <c r="F40" s="4">
        <v>998</v>
      </c>
      <c r="G40" t="s">
        <v>53</v>
      </c>
      <c r="I40" t="s">
        <v>1830</v>
      </c>
      <c r="J40" s="2" t="s">
        <v>54</v>
      </c>
      <c r="K40" s="39" t="str">
        <f t="shared" si="0"/>
        <v>SDC113169;RENEWAL</v>
      </c>
      <c r="L40" s="39" t="str">
        <f t="shared" si="1"/>
        <v>OK</v>
      </c>
      <c r="M40" s="39" t="str">
        <f t="shared" si="2"/>
        <v>ERROR</v>
      </c>
      <c r="N40" s="39" t="str">
        <f t="shared" si="3"/>
        <v>OK</v>
      </c>
      <c r="O40" t="s">
        <v>697</v>
      </c>
    </row>
    <row r="41" spans="3:15" x14ac:dyDescent="0.25">
      <c r="C41" s="1">
        <v>42937</v>
      </c>
      <c r="D41" s="5" t="s">
        <v>2</v>
      </c>
      <c r="E41" s="3">
        <v>10121240</v>
      </c>
      <c r="F41" s="4">
        <v>10000</v>
      </c>
      <c r="G41" t="s">
        <v>55</v>
      </c>
      <c r="I41" t="s">
        <v>1842</v>
      </c>
      <c r="J41" s="2">
        <v>10121240</v>
      </c>
      <c r="K41" s="39" t="str">
        <f t="shared" si="0"/>
        <v>SDC203116;RENEWAL</v>
      </c>
      <c r="L41" s="39" t="str">
        <f t="shared" si="1"/>
        <v>OK</v>
      </c>
      <c r="M41" s="39" t="str">
        <f t="shared" si="2"/>
        <v>ERROR</v>
      </c>
      <c r="N41" s="39" t="str">
        <f t="shared" si="3"/>
        <v>OK</v>
      </c>
      <c r="O41" t="s">
        <v>697</v>
      </c>
    </row>
    <row r="42" spans="3:15" x14ac:dyDescent="0.25">
      <c r="C42" s="1">
        <v>42937</v>
      </c>
      <c r="D42" s="5" t="s">
        <v>2</v>
      </c>
      <c r="E42" s="3">
        <v>10121285</v>
      </c>
      <c r="F42" s="4">
        <v>1560</v>
      </c>
      <c r="G42" t="s">
        <v>56</v>
      </c>
      <c r="I42" t="s">
        <v>1853</v>
      </c>
      <c r="J42" s="2">
        <v>10121285</v>
      </c>
      <c r="K42" s="39" t="str">
        <f t="shared" si="0"/>
        <v>SDC195505;RENEWAL</v>
      </c>
      <c r="L42" s="39" t="str">
        <f t="shared" si="1"/>
        <v>OK</v>
      </c>
      <c r="M42" s="39" t="str">
        <f t="shared" si="2"/>
        <v>ERROR</v>
      </c>
      <c r="N42" s="39" t="str">
        <f t="shared" si="3"/>
        <v>OK</v>
      </c>
      <c r="O42" t="s">
        <v>697</v>
      </c>
    </row>
    <row r="43" spans="3:15" x14ac:dyDescent="0.25">
      <c r="C43" s="1">
        <v>42937</v>
      </c>
      <c r="D43" s="5" t="s">
        <v>2</v>
      </c>
      <c r="E43" s="3">
        <v>10121320</v>
      </c>
      <c r="F43" s="4">
        <v>2020</v>
      </c>
      <c r="G43" t="s">
        <v>57</v>
      </c>
      <c r="I43" t="s">
        <v>1864</v>
      </c>
      <c r="J43" s="2">
        <v>10121320</v>
      </c>
      <c r="K43" s="39" t="str">
        <f t="shared" si="0"/>
        <v>SDC186764;RENEWAL</v>
      </c>
      <c r="L43" s="39" t="str">
        <f t="shared" si="1"/>
        <v>OK</v>
      </c>
      <c r="M43" s="39" t="str">
        <f t="shared" si="2"/>
        <v>ERROR</v>
      </c>
      <c r="N43" s="39" t="str">
        <f t="shared" si="3"/>
        <v>OK</v>
      </c>
      <c r="O43" t="s">
        <v>697</v>
      </c>
    </row>
    <row r="44" spans="3:15" x14ac:dyDescent="0.25">
      <c r="C44" s="1">
        <v>42937</v>
      </c>
      <c r="D44" s="5" t="s">
        <v>60</v>
      </c>
      <c r="E44" s="3">
        <v>10121359</v>
      </c>
      <c r="F44" s="4">
        <v>3056</v>
      </c>
      <c r="G44" t="s">
        <v>58</v>
      </c>
      <c r="I44" t="s">
        <v>1871</v>
      </c>
      <c r="J44" s="2" t="s">
        <v>59</v>
      </c>
      <c r="K44" s="39" t="str">
        <f t="shared" si="0"/>
        <v>SDC128355;RENEWAL</v>
      </c>
      <c r="L44" s="39" t="str">
        <f t="shared" si="1"/>
        <v>OK</v>
      </c>
      <c r="M44" s="39" t="str">
        <f t="shared" si="2"/>
        <v>ERROR</v>
      </c>
      <c r="N44" s="39" t="str">
        <f t="shared" si="3"/>
        <v>OK</v>
      </c>
      <c r="O44" t="s">
        <v>700</v>
      </c>
    </row>
    <row r="45" spans="3:15" x14ac:dyDescent="0.25">
      <c r="C45" s="1">
        <v>42937</v>
      </c>
      <c r="D45" s="5" t="s">
        <v>2</v>
      </c>
      <c r="E45" s="3">
        <v>10121782</v>
      </c>
      <c r="F45" s="4">
        <v>2400</v>
      </c>
      <c r="G45" t="s">
        <v>61</v>
      </c>
      <c r="I45" t="s">
        <v>1872</v>
      </c>
      <c r="J45" s="2">
        <v>10121782</v>
      </c>
      <c r="K45" s="39" t="str">
        <f t="shared" si="0"/>
        <v>SDC206423;RENEWAL</v>
      </c>
      <c r="L45" s="39" t="str">
        <f t="shared" si="1"/>
        <v>OK</v>
      </c>
      <c r="M45" s="39" t="str">
        <f t="shared" si="2"/>
        <v>ERROR</v>
      </c>
      <c r="N45" s="39" t="str">
        <f t="shared" si="3"/>
        <v>OK</v>
      </c>
      <c r="O45" t="s">
        <v>697</v>
      </c>
    </row>
    <row r="46" spans="3:15" x14ac:dyDescent="0.25">
      <c r="C46" s="1">
        <v>42937</v>
      </c>
      <c r="D46" s="5" t="s">
        <v>2</v>
      </c>
      <c r="E46" s="3">
        <v>10121924</v>
      </c>
      <c r="F46" s="4">
        <v>1165</v>
      </c>
      <c r="G46" t="s">
        <v>62</v>
      </c>
      <c r="I46" t="s">
        <v>1873</v>
      </c>
      <c r="J46" s="2">
        <v>10121924</v>
      </c>
      <c r="K46" s="39" t="str">
        <f t="shared" si="0"/>
        <v>SDC188901;RENEWAL</v>
      </c>
      <c r="L46" s="39" t="str">
        <f t="shared" si="1"/>
        <v>OK</v>
      </c>
      <c r="M46" s="39" t="str">
        <f t="shared" si="2"/>
        <v>ERROR</v>
      </c>
      <c r="N46" s="39" t="str">
        <f t="shared" si="3"/>
        <v>OK</v>
      </c>
      <c r="O46" t="s">
        <v>697</v>
      </c>
    </row>
    <row r="47" spans="3:15" x14ac:dyDescent="0.25">
      <c r="C47" s="1">
        <v>42937</v>
      </c>
      <c r="D47" s="5" t="s">
        <v>2</v>
      </c>
      <c r="E47" s="3">
        <v>10122553</v>
      </c>
      <c r="F47" s="4">
        <v>1070</v>
      </c>
      <c r="G47" t="s">
        <v>63</v>
      </c>
      <c r="I47" t="s">
        <v>1874</v>
      </c>
      <c r="J47" s="2">
        <v>10122553</v>
      </c>
      <c r="K47" s="39" t="str">
        <f t="shared" si="0"/>
        <v>SDC174599;RENEWAL</v>
      </c>
      <c r="L47" s="39" t="str">
        <f t="shared" si="1"/>
        <v>OK</v>
      </c>
      <c r="M47" s="39" t="str">
        <f t="shared" si="2"/>
        <v>ERROR</v>
      </c>
      <c r="N47" s="39" t="str">
        <f t="shared" si="3"/>
        <v>OK</v>
      </c>
      <c r="O47" t="s">
        <v>697</v>
      </c>
    </row>
    <row r="48" spans="3:15" x14ac:dyDescent="0.25">
      <c r="C48" s="1">
        <v>42937</v>
      </c>
      <c r="D48" s="5" t="s">
        <v>2</v>
      </c>
      <c r="E48" s="3">
        <v>10122597</v>
      </c>
      <c r="F48" s="4">
        <v>935</v>
      </c>
      <c r="G48" t="s">
        <v>64</v>
      </c>
      <c r="I48" t="s">
        <v>1875</v>
      </c>
      <c r="J48" s="2">
        <v>10122597</v>
      </c>
      <c r="K48" s="39" t="str">
        <f t="shared" si="0"/>
        <v>SDC183939;RENEWAL</v>
      </c>
      <c r="L48" s="39" t="str">
        <f t="shared" si="1"/>
        <v>OK</v>
      </c>
      <c r="M48" s="39" t="str">
        <f t="shared" si="2"/>
        <v>ERROR</v>
      </c>
      <c r="N48" s="39" t="str">
        <f t="shared" si="3"/>
        <v>OK</v>
      </c>
      <c r="O48" t="s">
        <v>697</v>
      </c>
    </row>
    <row r="49" spans="3:15" x14ac:dyDescent="0.25">
      <c r="C49" s="1">
        <v>42937</v>
      </c>
      <c r="D49" s="5" t="s">
        <v>2</v>
      </c>
      <c r="E49" s="3">
        <v>10122642</v>
      </c>
      <c r="F49" s="4">
        <v>742</v>
      </c>
      <c r="G49" t="s">
        <v>65</v>
      </c>
      <c r="I49" t="s">
        <v>1876</v>
      </c>
      <c r="J49" s="2">
        <v>10122642</v>
      </c>
      <c r="K49" s="39" t="str">
        <f t="shared" si="0"/>
        <v>SDC184075;RENEWAL</v>
      </c>
      <c r="L49" s="39" t="str">
        <f t="shared" si="1"/>
        <v>OK</v>
      </c>
      <c r="M49" s="39" t="str">
        <f t="shared" si="2"/>
        <v>ERROR</v>
      </c>
      <c r="N49" s="39" t="str">
        <f t="shared" si="3"/>
        <v>OK</v>
      </c>
      <c r="O49" t="s">
        <v>697</v>
      </c>
    </row>
    <row r="50" spans="3:15" x14ac:dyDescent="0.25">
      <c r="C50" s="1">
        <v>42937</v>
      </c>
      <c r="D50" s="5" t="s">
        <v>2</v>
      </c>
      <c r="E50" s="3">
        <v>10125329</v>
      </c>
      <c r="F50" s="4">
        <v>36539</v>
      </c>
      <c r="G50" t="s">
        <v>66</v>
      </c>
      <c r="I50" t="s">
        <v>1877</v>
      </c>
      <c r="J50" s="2" t="s">
        <v>67</v>
      </c>
      <c r="K50" s="39" t="str">
        <f t="shared" si="0"/>
        <v>SDC115672;RENEWAL</v>
      </c>
      <c r="L50" s="39" t="str">
        <f t="shared" si="1"/>
        <v>OK</v>
      </c>
      <c r="M50" s="39" t="str">
        <f t="shared" si="2"/>
        <v>ERROR</v>
      </c>
      <c r="N50" s="39" t="str">
        <f t="shared" si="3"/>
        <v>OK</v>
      </c>
      <c r="O50" t="s">
        <v>697</v>
      </c>
    </row>
    <row r="51" spans="3:15" x14ac:dyDescent="0.25">
      <c r="C51" s="1">
        <v>42937</v>
      </c>
      <c r="D51" s="5" t="s">
        <v>2</v>
      </c>
      <c r="E51" s="3">
        <v>10128586</v>
      </c>
      <c r="F51" s="4">
        <v>2350</v>
      </c>
      <c r="G51" t="s">
        <v>68</v>
      </c>
      <c r="I51" t="s">
        <v>1879</v>
      </c>
      <c r="J51" s="2" t="s">
        <v>69</v>
      </c>
      <c r="K51" s="39" t="str">
        <f t="shared" si="0"/>
        <v>SDC205396;RENEWAL</v>
      </c>
      <c r="L51" s="39" t="str">
        <f t="shared" si="1"/>
        <v>OK</v>
      </c>
      <c r="M51" s="39" t="str">
        <f t="shared" si="2"/>
        <v>ERROR</v>
      </c>
      <c r="N51" s="39" t="str">
        <f t="shared" si="3"/>
        <v>OK</v>
      </c>
      <c r="O51" t="s">
        <v>697</v>
      </c>
    </row>
    <row r="52" spans="3:15" x14ac:dyDescent="0.25">
      <c r="C52" s="1">
        <v>42937</v>
      </c>
      <c r="D52" s="5" t="s">
        <v>2</v>
      </c>
      <c r="E52" s="6">
        <v>10129296</v>
      </c>
      <c r="F52" s="4">
        <v>19552</v>
      </c>
      <c r="G52" t="s">
        <v>70</v>
      </c>
      <c r="I52" t="s">
        <v>1880</v>
      </c>
      <c r="J52" s="2" t="s">
        <v>71</v>
      </c>
      <c r="K52" s="39" t="str">
        <f t="shared" si="0"/>
        <v>SDC105602;RENEWAL</v>
      </c>
      <c r="L52" s="39" t="str">
        <f t="shared" si="1"/>
        <v>OK</v>
      </c>
      <c r="M52" s="39" t="str">
        <f t="shared" si="2"/>
        <v>ERROR</v>
      </c>
      <c r="N52" s="39" t="str">
        <f t="shared" si="3"/>
        <v>OK</v>
      </c>
      <c r="O52" t="s">
        <v>697</v>
      </c>
    </row>
    <row r="53" spans="3:15" x14ac:dyDescent="0.25">
      <c r="C53" s="1">
        <v>42937</v>
      </c>
      <c r="D53" s="5" t="s">
        <v>2</v>
      </c>
      <c r="E53" s="3">
        <v>10129463</v>
      </c>
      <c r="F53" s="4">
        <v>3100</v>
      </c>
      <c r="G53" t="s">
        <v>72</v>
      </c>
      <c r="I53" t="s">
        <v>1881</v>
      </c>
      <c r="J53" s="2" t="s">
        <v>73</v>
      </c>
      <c r="K53" s="39" t="str">
        <f t="shared" si="0"/>
        <v>SDC210913;RENEWAL</v>
      </c>
      <c r="L53" s="39" t="str">
        <f t="shared" si="1"/>
        <v>OK</v>
      </c>
      <c r="M53" s="39" t="str">
        <f t="shared" si="2"/>
        <v>ERROR</v>
      </c>
      <c r="N53" s="39" t="str">
        <f t="shared" si="3"/>
        <v>OK</v>
      </c>
      <c r="O53" t="s">
        <v>697</v>
      </c>
    </row>
    <row r="54" spans="3:15" x14ac:dyDescent="0.25">
      <c r="C54" s="1">
        <v>42937</v>
      </c>
      <c r="D54" s="5" t="s">
        <v>2</v>
      </c>
      <c r="E54" s="3">
        <v>10129888</v>
      </c>
      <c r="F54" s="4">
        <v>4762</v>
      </c>
      <c r="G54" t="s">
        <v>74</v>
      </c>
      <c r="I54" t="s">
        <v>1882</v>
      </c>
      <c r="J54" s="2" t="s">
        <v>75</v>
      </c>
      <c r="K54" s="39" t="str">
        <f t="shared" si="0"/>
        <v>SDC115604;RENEWAL</v>
      </c>
      <c r="L54" s="39" t="str">
        <f t="shared" si="1"/>
        <v>OK</v>
      </c>
      <c r="M54" s="39" t="str">
        <f t="shared" si="2"/>
        <v>ERROR</v>
      </c>
      <c r="N54" s="39" t="str">
        <f t="shared" si="3"/>
        <v>OK</v>
      </c>
      <c r="O54" t="s">
        <v>697</v>
      </c>
    </row>
    <row r="55" spans="3:15" x14ac:dyDescent="0.25">
      <c r="C55" s="1">
        <v>42937</v>
      </c>
      <c r="D55" s="5" t="s">
        <v>2</v>
      </c>
      <c r="E55" s="3">
        <v>10129889</v>
      </c>
      <c r="F55" s="4">
        <v>5726</v>
      </c>
      <c r="G55" t="s">
        <v>76</v>
      </c>
      <c r="I55" t="s">
        <v>1883</v>
      </c>
      <c r="J55" s="2" t="s">
        <v>77</v>
      </c>
      <c r="K55" s="39" t="str">
        <f t="shared" si="0"/>
        <v>SDC115555;RENEWAL</v>
      </c>
      <c r="L55" s="39" t="str">
        <f t="shared" si="1"/>
        <v>OK</v>
      </c>
      <c r="M55" s="39" t="str">
        <f t="shared" si="2"/>
        <v>ERROR</v>
      </c>
      <c r="N55" s="39" t="str">
        <f t="shared" si="3"/>
        <v>OK</v>
      </c>
      <c r="O55" t="s">
        <v>697</v>
      </c>
    </row>
    <row r="56" spans="3:15" x14ac:dyDescent="0.25">
      <c r="C56" s="1">
        <v>42937</v>
      </c>
      <c r="D56" s="5" t="s">
        <v>2</v>
      </c>
      <c r="E56" s="3">
        <v>10130287</v>
      </c>
      <c r="F56" s="4">
        <v>4100</v>
      </c>
      <c r="G56" t="s">
        <v>78</v>
      </c>
      <c r="I56" t="s">
        <v>1884</v>
      </c>
      <c r="J56" s="2">
        <v>10130287</v>
      </c>
      <c r="K56" s="39" t="str">
        <f t="shared" si="0"/>
        <v>SDC206198;RENEWAL</v>
      </c>
      <c r="L56" s="39" t="str">
        <f t="shared" si="1"/>
        <v>OK</v>
      </c>
      <c r="M56" s="39" t="str">
        <f t="shared" si="2"/>
        <v>ERROR</v>
      </c>
      <c r="N56" s="39" t="str">
        <f t="shared" si="3"/>
        <v>OK</v>
      </c>
      <c r="O56" t="s">
        <v>697</v>
      </c>
    </row>
    <row r="57" spans="3:15" x14ac:dyDescent="0.25">
      <c r="C57" s="1">
        <v>42937</v>
      </c>
      <c r="D57" s="5" t="s">
        <v>2</v>
      </c>
      <c r="E57" s="3">
        <v>10130425</v>
      </c>
      <c r="F57" s="4">
        <v>1037</v>
      </c>
      <c r="G57" t="s">
        <v>79</v>
      </c>
      <c r="I57" t="s">
        <v>1885</v>
      </c>
      <c r="J57" s="2">
        <v>10130425</v>
      </c>
      <c r="K57" s="39" t="str">
        <f t="shared" si="0"/>
        <v>SDC168695;RENEWAL</v>
      </c>
      <c r="L57" s="39" t="str">
        <f t="shared" si="1"/>
        <v>OK</v>
      </c>
      <c r="M57" s="39" t="str">
        <f t="shared" si="2"/>
        <v>ERROR</v>
      </c>
      <c r="N57" s="39" t="str">
        <f t="shared" si="3"/>
        <v>OK</v>
      </c>
      <c r="O57" t="s">
        <v>697</v>
      </c>
    </row>
    <row r="58" spans="3:15" x14ac:dyDescent="0.25">
      <c r="C58" s="1">
        <v>42937</v>
      </c>
      <c r="D58" s="5" t="s">
        <v>2</v>
      </c>
      <c r="E58" s="3">
        <v>10131906</v>
      </c>
      <c r="F58" s="4">
        <v>3477</v>
      </c>
      <c r="G58" t="s">
        <v>80</v>
      </c>
      <c r="I58" t="s">
        <v>1886</v>
      </c>
      <c r="J58" s="2">
        <v>10131906</v>
      </c>
      <c r="K58" s="39" t="str">
        <f t="shared" si="0"/>
        <v>SDC168127;RENEWAL</v>
      </c>
      <c r="L58" s="39" t="str">
        <f t="shared" si="1"/>
        <v>OK</v>
      </c>
      <c r="M58" s="39" t="str">
        <f t="shared" si="2"/>
        <v>ERROR</v>
      </c>
      <c r="N58" s="39" t="str">
        <f t="shared" si="3"/>
        <v>OK</v>
      </c>
      <c r="O58" t="s">
        <v>697</v>
      </c>
    </row>
    <row r="59" spans="3:15" x14ac:dyDescent="0.25">
      <c r="C59" s="1">
        <v>42937</v>
      </c>
      <c r="D59" s="5" t="s">
        <v>2</v>
      </c>
      <c r="E59" s="3">
        <v>10133711</v>
      </c>
      <c r="F59" s="4">
        <v>1503</v>
      </c>
      <c r="G59" t="s">
        <v>81</v>
      </c>
      <c r="I59" t="s">
        <v>1887</v>
      </c>
      <c r="J59" s="2" t="s">
        <v>82</v>
      </c>
      <c r="K59" s="39" t="str">
        <f t="shared" si="0"/>
        <v>SDC113612;RENEWAL</v>
      </c>
      <c r="L59" s="39" t="str">
        <f t="shared" si="1"/>
        <v>OK</v>
      </c>
      <c r="M59" s="39" t="str">
        <f t="shared" si="2"/>
        <v>ERROR</v>
      </c>
      <c r="N59" s="39" t="str">
        <f t="shared" si="3"/>
        <v>OK</v>
      </c>
      <c r="O59" t="s">
        <v>697</v>
      </c>
    </row>
    <row r="60" spans="3:15" x14ac:dyDescent="0.25">
      <c r="C60" s="1">
        <v>42937</v>
      </c>
      <c r="D60" s="5" t="s">
        <v>2</v>
      </c>
      <c r="E60" s="3">
        <v>10135846</v>
      </c>
      <c r="F60" s="4">
        <v>1128</v>
      </c>
      <c r="G60" t="s">
        <v>83</v>
      </c>
      <c r="I60" t="s">
        <v>1888</v>
      </c>
      <c r="J60" s="2" t="s">
        <v>84</v>
      </c>
      <c r="K60" s="39" t="str">
        <f t="shared" si="0"/>
        <v>SDC132004;RENEWAL</v>
      </c>
      <c r="L60" s="39" t="str">
        <f t="shared" si="1"/>
        <v>OK</v>
      </c>
      <c r="M60" s="39" t="str">
        <f t="shared" si="2"/>
        <v>ERROR</v>
      </c>
      <c r="N60" s="39" t="str">
        <f t="shared" si="3"/>
        <v>OK</v>
      </c>
      <c r="O60" t="s">
        <v>697</v>
      </c>
    </row>
    <row r="61" spans="3:15" x14ac:dyDescent="0.25">
      <c r="C61" s="1">
        <v>42937</v>
      </c>
      <c r="D61" s="5" t="s">
        <v>2</v>
      </c>
      <c r="E61" s="3">
        <v>10136442</v>
      </c>
      <c r="F61" s="4">
        <v>2270</v>
      </c>
      <c r="G61" t="s">
        <v>85</v>
      </c>
      <c r="I61" t="s">
        <v>1890</v>
      </c>
      <c r="J61" s="2">
        <v>10136442</v>
      </c>
      <c r="K61" s="39" t="str">
        <f t="shared" si="0"/>
        <v>SDC207140;RENEWAL</v>
      </c>
      <c r="L61" s="39" t="str">
        <f t="shared" si="1"/>
        <v>OK</v>
      </c>
      <c r="M61" s="39" t="str">
        <f t="shared" si="2"/>
        <v>ERROR</v>
      </c>
      <c r="N61" s="39" t="str">
        <f t="shared" si="3"/>
        <v>OK</v>
      </c>
      <c r="O61" t="s">
        <v>697</v>
      </c>
    </row>
    <row r="62" spans="3:15" x14ac:dyDescent="0.25">
      <c r="C62" s="1">
        <v>42937</v>
      </c>
      <c r="D62" s="5" t="s">
        <v>2</v>
      </c>
      <c r="E62" s="3">
        <v>10136511</v>
      </c>
      <c r="F62" s="4">
        <v>1550</v>
      </c>
      <c r="G62" t="s">
        <v>86</v>
      </c>
      <c r="I62" t="s">
        <v>1891</v>
      </c>
      <c r="J62" s="2">
        <v>10136511</v>
      </c>
      <c r="K62" s="39" t="str">
        <f t="shared" si="0"/>
        <v>SDC161613;RENEWAL</v>
      </c>
      <c r="L62" s="39" t="str">
        <f t="shared" si="1"/>
        <v>OK</v>
      </c>
      <c r="M62" s="39" t="str">
        <f t="shared" si="2"/>
        <v>ERROR</v>
      </c>
      <c r="N62" s="39" t="str">
        <f t="shared" si="3"/>
        <v>OK</v>
      </c>
      <c r="O62" t="s">
        <v>697</v>
      </c>
    </row>
    <row r="63" spans="3:15" x14ac:dyDescent="0.25">
      <c r="C63" s="1">
        <v>42937</v>
      </c>
      <c r="D63" s="5" t="s">
        <v>2</v>
      </c>
      <c r="E63" s="3">
        <v>10136924</v>
      </c>
      <c r="F63" s="4">
        <v>1533</v>
      </c>
      <c r="G63" t="s">
        <v>87</v>
      </c>
      <c r="I63" t="s">
        <v>1892</v>
      </c>
      <c r="J63" s="2">
        <v>10136924</v>
      </c>
      <c r="K63" s="39" t="str">
        <f t="shared" si="0"/>
        <v>SDC189592;RENEWAL</v>
      </c>
      <c r="L63" s="39" t="str">
        <f t="shared" si="1"/>
        <v>OK</v>
      </c>
      <c r="M63" s="39" t="str">
        <f t="shared" si="2"/>
        <v>ERROR</v>
      </c>
      <c r="N63" s="39" t="str">
        <f t="shared" si="3"/>
        <v>OK</v>
      </c>
      <c r="O63" t="s">
        <v>697</v>
      </c>
    </row>
    <row r="64" spans="3:15" x14ac:dyDescent="0.25">
      <c r="C64" s="1">
        <v>42937</v>
      </c>
      <c r="D64" s="5" t="s">
        <v>2</v>
      </c>
      <c r="E64" s="3">
        <v>10136960</v>
      </c>
      <c r="F64" s="4">
        <v>2206</v>
      </c>
      <c r="G64" t="s">
        <v>88</v>
      </c>
      <c r="I64" t="s">
        <v>1893</v>
      </c>
      <c r="J64" s="2" t="s">
        <v>89</v>
      </c>
      <c r="K64" s="39" t="str">
        <f t="shared" si="0"/>
        <v>SDC107137;RENEWAL</v>
      </c>
      <c r="L64" s="39" t="str">
        <f t="shared" si="1"/>
        <v>OK</v>
      </c>
      <c r="M64" s="39" t="str">
        <f t="shared" si="2"/>
        <v>ERROR</v>
      </c>
      <c r="N64" s="39" t="str">
        <f t="shared" si="3"/>
        <v>OK</v>
      </c>
      <c r="O64" t="s">
        <v>697</v>
      </c>
    </row>
    <row r="65" spans="3:15" x14ac:dyDescent="0.25">
      <c r="C65" s="1">
        <v>42937</v>
      </c>
      <c r="D65" s="5" t="s">
        <v>2</v>
      </c>
      <c r="E65" s="3">
        <v>10138130</v>
      </c>
      <c r="F65" s="4">
        <v>1289</v>
      </c>
      <c r="G65" t="s">
        <v>90</v>
      </c>
      <c r="I65" t="s">
        <v>1894</v>
      </c>
      <c r="J65" s="2" t="s">
        <v>91</v>
      </c>
      <c r="K65" s="39" t="str">
        <f t="shared" si="0"/>
        <v>SDC105416;RENEWAL</v>
      </c>
      <c r="L65" s="39" t="str">
        <f t="shared" si="1"/>
        <v>OK</v>
      </c>
      <c r="M65" s="39" t="str">
        <f t="shared" si="2"/>
        <v>ERROR</v>
      </c>
      <c r="N65" s="39" t="str">
        <f t="shared" si="3"/>
        <v>OK</v>
      </c>
      <c r="O65" t="s">
        <v>697</v>
      </c>
    </row>
    <row r="66" spans="3:15" x14ac:dyDescent="0.25">
      <c r="C66" s="1">
        <v>42937</v>
      </c>
      <c r="D66" s="5" t="s">
        <v>2</v>
      </c>
      <c r="E66" s="3">
        <v>10140154</v>
      </c>
      <c r="F66" s="4">
        <v>1077</v>
      </c>
      <c r="G66" t="s">
        <v>92</v>
      </c>
      <c r="I66" t="s">
        <v>1895</v>
      </c>
      <c r="J66" s="2">
        <v>10140154</v>
      </c>
      <c r="K66" s="39" t="str">
        <f t="shared" si="0"/>
        <v>SDC206269;RENEWAL</v>
      </c>
      <c r="L66" s="39" t="str">
        <f t="shared" si="1"/>
        <v>OK</v>
      </c>
      <c r="M66" s="39" t="str">
        <f t="shared" si="2"/>
        <v>ERROR</v>
      </c>
      <c r="N66" s="39" t="str">
        <f t="shared" si="3"/>
        <v>OK</v>
      </c>
      <c r="O66" t="s">
        <v>697</v>
      </c>
    </row>
    <row r="67" spans="3:15" x14ac:dyDescent="0.25">
      <c r="C67" s="1">
        <v>42937</v>
      </c>
      <c r="D67" s="5" t="s">
        <v>2</v>
      </c>
      <c r="E67" s="3">
        <v>10144858</v>
      </c>
      <c r="F67" s="4">
        <v>3853</v>
      </c>
      <c r="G67" t="s">
        <v>93</v>
      </c>
      <c r="I67" t="s">
        <v>1896</v>
      </c>
      <c r="J67" s="2">
        <v>10144858</v>
      </c>
      <c r="K67" s="39" t="str">
        <f t="shared" ref="K67:K130" si="4">SUBSTITUTE(TRIM(MID(H67,7,4)&amp;G67&amp;";RENEWAL")," ","")</f>
        <v>SDC112438;RENEWAL</v>
      </c>
      <c r="L67" s="39" t="str">
        <f t="shared" ref="L67:L130" si="5">IF(ISERROR(SUBSTITUTE(SUBSTITUTE(K67,LEFT(K67,6),""),RIGHT(SUBSTITUTE(K67,LEFT(K67,6),""),10),"")*1)&amp;" ¦ "&amp;ISERROR(SUBSTITUTE(SUBSTITUTE(K67,LEFT(K67,7),""),RIGHT(SUBSTITUTE(K67,LEFT(K67,7),""),10),"")*1)="TRUE ¦ TRUE","ERROR","OK")</f>
        <v>OK</v>
      </c>
      <c r="M67" s="39" t="str">
        <f t="shared" ref="M67:M130" si="6">IF(ISERROR(LEFT(K67,3)*1)=TRUE,"ERROR","OK")</f>
        <v>ERROR</v>
      </c>
      <c r="N67" s="39" t="str">
        <f t="shared" ref="N67:N130" si="7">IF(RIGHT(K67,8)=";RENEWAL","OK","ERROR")</f>
        <v>OK</v>
      </c>
      <c r="O67" t="s">
        <v>697</v>
      </c>
    </row>
    <row r="68" spans="3:15" x14ac:dyDescent="0.25">
      <c r="C68" s="1">
        <v>42937</v>
      </c>
      <c r="D68" s="5" t="s">
        <v>2</v>
      </c>
      <c r="E68" s="3">
        <v>10145100</v>
      </c>
      <c r="F68" s="4">
        <v>1507</v>
      </c>
      <c r="G68" t="s">
        <v>94</v>
      </c>
      <c r="I68" t="s">
        <v>1897</v>
      </c>
      <c r="J68" s="2" t="s">
        <v>95</v>
      </c>
      <c r="K68" s="39" t="str">
        <f t="shared" si="4"/>
        <v>SDC113561;RENEWAL</v>
      </c>
      <c r="L68" s="39" t="str">
        <f t="shared" si="5"/>
        <v>OK</v>
      </c>
      <c r="M68" s="39" t="str">
        <f t="shared" si="6"/>
        <v>ERROR</v>
      </c>
      <c r="N68" s="39" t="str">
        <f t="shared" si="7"/>
        <v>OK</v>
      </c>
      <c r="O68" t="s">
        <v>697</v>
      </c>
    </row>
    <row r="69" spans="3:15" x14ac:dyDescent="0.25">
      <c r="C69" s="1">
        <v>42937</v>
      </c>
      <c r="D69" s="5" t="s">
        <v>2</v>
      </c>
      <c r="E69" s="3">
        <v>10145833</v>
      </c>
      <c r="F69" s="4">
        <v>3020</v>
      </c>
      <c r="G69" t="s">
        <v>96</v>
      </c>
      <c r="I69" t="s">
        <v>1898</v>
      </c>
      <c r="J69" s="2">
        <v>10145833</v>
      </c>
      <c r="K69" s="39" t="str">
        <f t="shared" si="4"/>
        <v>SDC193938;RENEWAL</v>
      </c>
      <c r="L69" s="39" t="str">
        <f t="shared" si="5"/>
        <v>OK</v>
      </c>
      <c r="M69" s="39" t="str">
        <f t="shared" si="6"/>
        <v>ERROR</v>
      </c>
      <c r="N69" s="39" t="str">
        <f t="shared" si="7"/>
        <v>OK</v>
      </c>
      <c r="O69" t="s">
        <v>697</v>
      </c>
    </row>
    <row r="70" spans="3:15" x14ac:dyDescent="0.25">
      <c r="C70" s="1">
        <v>42937</v>
      </c>
      <c r="D70" s="5" t="s">
        <v>2</v>
      </c>
      <c r="E70" s="3">
        <v>10145875</v>
      </c>
      <c r="F70" s="4">
        <v>1724</v>
      </c>
      <c r="G70" t="s">
        <v>97</v>
      </c>
      <c r="I70" t="s">
        <v>1899</v>
      </c>
      <c r="J70" s="2" t="s">
        <v>98</v>
      </c>
      <c r="K70" s="39" t="str">
        <f t="shared" si="4"/>
        <v>SDC113274;RENEWAL</v>
      </c>
      <c r="L70" s="39" t="str">
        <f t="shared" si="5"/>
        <v>OK</v>
      </c>
      <c r="M70" s="39" t="str">
        <f t="shared" si="6"/>
        <v>ERROR</v>
      </c>
      <c r="N70" s="39" t="str">
        <f t="shared" si="7"/>
        <v>OK</v>
      </c>
      <c r="O70" t="s">
        <v>697</v>
      </c>
    </row>
    <row r="71" spans="3:15" x14ac:dyDescent="0.25">
      <c r="C71" s="1">
        <v>42937</v>
      </c>
      <c r="D71" s="5" t="s">
        <v>2</v>
      </c>
      <c r="E71" s="3">
        <v>10146180</v>
      </c>
      <c r="F71" s="4">
        <v>2036</v>
      </c>
      <c r="G71" t="s">
        <v>99</v>
      </c>
      <c r="I71" t="s">
        <v>1901</v>
      </c>
      <c r="J71" s="2">
        <v>10146180</v>
      </c>
      <c r="K71" s="39" t="str">
        <f t="shared" si="4"/>
        <v>SDC112994;RENEWAL</v>
      </c>
      <c r="L71" s="39" t="str">
        <f t="shared" si="5"/>
        <v>OK</v>
      </c>
      <c r="M71" s="39" t="str">
        <f t="shared" si="6"/>
        <v>ERROR</v>
      </c>
      <c r="N71" s="39" t="str">
        <f t="shared" si="7"/>
        <v>OK</v>
      </c>
      <c r="O71" t="s">
        <v>697</v>
      </c>
    </row>
    <row r="72" spans="3:15" x14ac:dyDescent="0.25">
      <c r="C72" s="1">
        <v>42937</v>
      </c>
      <c r="D72" s="5" t="s">
        <v>2</v>
      </c>
      <c r="E72" s="3">
        <v>10148937</v>
      </c>
      <c r="F72" s="4">
        <v>2200</v>
      </c>
      <c r="G72" t="s">
        <v>100</v>
      </c>
      <c r="I72" t="s">
        <v>1902</v>
      </c>
      <c r="J72" s="2">
        <v>10148937</v>
      </c>
      <c r="K72" s="39" t="str">
        <f t="shared" si="4"/>
        <v>SDC180105;RENEWAL</v>
      </c>
      <c r="L72" s="39" t="str">
        <f t="shared" si="5"/>
        <v>OK</v>
      </c>
      <c r="M72" s="39" t="str">
        <f t="shared" si="6"/>
        <v>ERROR</v>
      </c>
      <c r="N72" s="39" t="str">
        <f t="shared" si="7"/>
        <v>OK</v>
      </c>
      <c r="O72" t="s">
        <v>697</v>
      </c>
    </row>
    <row r="73" spans="3:15" x14ac:dyDescent="0.25">
      <c r="C73" s="1">
        <v>42937</v>
      </c>
      <c r="D73" s="5" t="s">
        <v>2</v>
      </c>
      <c r="E73" s="3">
        <v>10149455</v>
      </c>
      <c r="F73" s="4">
        <v>1522</v>
      </c>
      <c r="G73" t="s">
        <v>101</v>
      </c>
      <c r="I73" t="s">
        <v>1903</v>
      </c>
      <c r="J73" s="2">
        <v>10149455</v>
      </c>
      <c r="K73" s="39" t="str">
        <f t="shared" si="4"/>
        <v>SDC166013;RENEWAL</v>
      </c>
      <c r="L73" s="39" t="str">
        <f t="shared" si="5"/>
        <v>OK</v>
      </c>
      <c r="M73" s="39" t="str">
        <f t="shared" si="6"/>
        <v>ERROR</v>
      </c>
      <c r="N73" s="39" t="str">
        <f t="shared" si="7"/>
        <v>OK</v>
      </c>
      <c r="O73" t="s">
        <v>697</v>
      </c>
    </row>
    <row r="74" spans="3:15" x14ac:dyDescent="0.25">
      <c r="C74" s="1">
        <v>42937</v>
      </c>
      <c r="D74" s="5" t="s">
        <v>2</v>
      </c>
      <c r="E74" s="3">
        <v>10154742</v>
      </c>
      <c r="F74" s="4">
        <v>4000</v>
      </c>
      <c r="G74" t="s">
        <v>102</v>
      </c>
      <c r="I74" t="s">
        <v>1904</v>
      </c>
      <c r="J74" s="2">
        <v>10154742</v>
      </c>
      <c r="K74" s="39" t="str">
        <f t="shared" si="4"/>
        <v>SDC178496;RENEWAL</v>
      </c>
      <c r="L74" s="39" t="str">
        <f t="shared" si="5"/>
        <v>OK</v>
      </c>
      <c r="M74" s="39" t="str">
        <f t="shared" si="6"/>
        <v>ERROR</v>
      </c>
      <c r="N74" s="39" t="str">
        <f t="shared" si="7"/>
        <v>OK</v>
      </c>
      <c r="O74" t="s">
        <v>697</v>
      </c>
    </row>
    <row r="75" spans="3:15" x14ac:dyDescent="0.25">
      <c r="C75" s="1">
        <v>42937</v>
      </c>
      <c r="D75" s="5" t="s">
        <v>2</v>
      </c>
      <c r="E75" s="3">
        <v>10155805</v>
      </c>
      <c r="F75" s="4">
        <v>2000</v>
      </c>
      <c r="G75" t="s">
        <v>103</v>
      </c>
      <c r="I75" t="s">
        <v>1905</v>
      </c>
      <c r="J75" s="2">
        <v>10155805</v>
      </c>
      <c r="K75" s="39" t="str">
        <f t="shared" si="4"/>
        <v>SDC211375;RENEWAL</v>
      </c>
      <c r="L75" s="39" t="str">
        <f t="shared" si="5"/>
        <v>OK</v>
      </c>
      <c r="M75" s="39" t="str">
        <f t="shared" si="6"/>
        <v>ERROR</v>
      </c>
      <c r="N75" s="39" t="str">
        <f t="shared" si="7"/>
        <v>OK</v>
      </c>
      <c r="O75" t="s">
        <v>697</v>
      </c>
    </row>
    <row r="76" spans="3:15" x14ac:dyDescent="0.25">
      <c r="C76" s="1">
        <v>42937</v>
      </c>
      <c r="D76" s="5" t="s">
        <v>2</v>
      </c>
      <c r="E76" s="3">
        <v>10157710</v>
      </c>
      <c r="F76" s="4">
        <v>808</v>
      </c>
      <c r="G76" t="s">
        <v>104</v>
      </c>
      <c r="I76" t="s">
        <v>1906</v>
      </c>
      <c r="J76" s="2" t="s">
        <v>105</v>
      </c>
      <c r="K76" s="39" t="str">
        <f t="shared" si="4"/>
        <v>SDC113918;RENEWAL</v>
      </c>
      <c r="L76" s="39" t="str">
        <f t="shared" si="5"/>
        <v>OK</v>
      </c>
      <c r="M76" s="39" t="str">
        <f t="shared" si="6"/>
        <v>ERROR</v>
      </c>
      <c r="N76" s="39" t="str">
        <f t="shared" si="7"/>
        <v>OK</v>
      </c>
      <c r="O76" t="s">
        <v>697</v>
      </c>
    </row>
    <row r="77" spans="3:15" x14ac:dyDescent="0.25">
      <c r="C77" s="1">
        <v>42937</v>
      </c>
      <c r="D77" s="5" t="s">
        <v>2</v>
      </c>
      <c r="E77" s="3">
        <v>10159720</v>
      </c>
      <c r="F77" s="4">
        <v>5311</v>
      </c>
      <c r="G77" t="s">
        <v>106</v>
      </c>
      <c r="I77" t="s">
        <v>1907</v>
      </c>
      <c r="J77" s="2" t="s">
        <v>107</v>
      </c>
      <c r="K77" s="39" t="str">
        <f t="shared" si="4"/>
        <v>SDC115624;RENEWAL</v>
      </c>
      <c r="L77" s="39" t="str">
        <f t="shared" si="5"/>
        <v>OK</v>
      </c>
      <c r="M77" s="39" t="str">
        <f t="shared" si="6"/>
        <v>ERROR</v>
      </c>
      <c r="N77" s="39" t="str">
        <f t="shared" si="7"/>
        <v>OK</v>
      </c>
      <c r="O77" t="s">
        <v>697</v>
      </c>
    </row>
    <row r="78" spans="3:15" x14ac:dyDescent="0.25">
      <c r="C78" s="1">
        <v>42937</v>
      </c>
      <c r="D78" s="5" t="s">
        <v>2</v>
      </c>
      <c r="E78" s="3">
        <v>10161088</v>
      </c>
      <c r="F78" s="4">
        <v>1030</v>
      </c>
      <c r="G78" t="s">
        <v>108</v>
      </c>
      <c r="I78" t="s">
        <v>1908</v>
      </c>
      <c r="J78" s="2" t="s">
        <v>109</v>
      </c>
      <c r="K78" s="39" t="str">
        <f t="shared" si="4"/>
        <v>SDC115193;RENEWAL</v>
      </c>
      <c r="L78" s="39" t="str">
        <f t="shared" si="5"/>
        <v>OK</v>
      </c>
      <c r="M78" s="39" t="str">
        <f t="shared" si="6"/>
        <v>ERROR</v>
      </c>
      <c r="N78" s="39" t="str">
        <f t="shared" si="7"/>
        <v>OK</v>
      </c>
      <c r="O78" t="s">
        <v>697</v>
      </c>
    </row>
    <row r="79" spans="3:15" x14ac:dyDescent="0.25">
      <c r="C79" s="1">
        <v>42937</v>
      </c>
      <c r="D79" s="5" t="s">
        <v>2</v>
      </c>
      <c r="E79" s="3">
        <v>10167824</v>
      </c>
      <c r="F79" s="4">
        <v>1530</v>
      </c>
      <c r="G79" t="s">
        <v>110</v>
      </c>
      <c r="I79" t="s">
        <v>1909</v>
      </c>
      <c r="J79" s="2">
        <v>10167824</v>
      </c>
      <c r="K79" s="39" t="str">
        <f t="shared" si="4"/>
        <v>SDC180136;RENEWAL</v>
      </c>
      <c r="L79" s="39" t="str">
        <f t="shared" si="5"/>
        <v>OK</v>
      </c>
      <c r="M79" s="39" t="str">
        <f t="shared" si="6"/>
        <v>ERROR</v>
      </c>
      <c r="N79" s="39" t="str">
        <f t="shared" si="7"/>
        <v>OK</v>
      </c>
      <c r="O79" t="s">
        <v>697</v>
      </c>
    </row>
    <row r="80" spans="3:15" x14ac:dyDescent="0.25">
      <c r="C80" s="1">
        <v>42937</v>
      </c>
      <c r="D80" s="5" t="s">
        <v>2</v>
      </c>
      <c r="E80" s="3">
        <v>10169171</v>
      </c>
      <c r="F80" s="4">
        <v>3330</v>
      </c>
      <c r="G80" t="s">
        <v>111</v>
      </c>
      <c r="I80" t="s">
        <v>1910</v>
      </c>
      <c r="J80" s="2">
        <v>10169171</v>
      </c>
      <c r="K80" s="39" t="str">
        <f t="shared" si="4"/>
        <v>SDC192864;RENEWAL</v>
      </c>
      <c r="L80" s="39" t="str">
        <f t="shared" si="5"/>
        <v>OK</v>
      </c>
      <c r="M80" s="39" t="str">
        <f t="shared" si="6"/>
        <v>ERROR</v>
      </c>
      <c r="N80" s="39" t="str">
        <f t="shared" si="7"/>
        <v>OK</v>
      </c>
      <c r="O80" t="s">
        <v>697</v>
      </c>
    </row>
    <row r="81" spans="3:15" x14ac:dyDescent="0.25">
      <c r="C81" s="1">
        <v>42937</v>
      </c>
      <c r="D81" s="5" t="s">
        <v>2</v>
      </c>
      <c r="E81" s="3">
        <v>10171265</v>
      </c>
      <c r="F81" s="4">
        <v>3200</v>
      </c>
      <c r="G81" t="s">
        <v>112</v>
      </c>
      <c r="I81" t="s">
        <v>1912</v>
      </c>
      <c r="J81" s="2">
        <v>10171265</v>
      </c>
      <c r="K81" s="39" t="str">
        <f t="shared" si="4"/>
        <v>SDC200392;RENEWAL</v>
      </c>
      <c r="L81" s="39" t="str">
        <f t="shared" si="5"/>
        <v>OK</v>
      </c>
      <c r="M81" s="39" t="str">
        <f t="shared" si="6"/>
        <v>ERROR</v>
      </c>
      <c r="N81" s="39" t="str">
        <f t="shared" si="7"/>
        <v>OK</v>
      </c>
      <c r="O81" t="s">
        <v>697</v>
      </c>
    </row>
    <row r="82" spans="3:15" x14ac:dyDescent="0.25">
      <c r="C82" s="1">
        <v>42937</v>
      </c>
      <c r="D82" s="5" t="s">
        <v>2</v>
      </c>
      <c r="E82" s="3">
        <v>10174185</v>
      </c>
      <c r="F82" s="4">
        <v>5000</v>
      </c>
      <c r="G82" t="s">
        <v>113</v>
      </c>
      <c r="I82" t="s">
        <v>1913</v>
      </c>
      <c r="J82" s="2">
        <v>10174185</v>
      </c>
      <c r="K82" s="39" t="str">
        <f t="shared" si="4"/>
        <v>SDC177392;RENEWAL</v>
      </c>
      <c r="L82" s="39" t="str">
        <f t="shared" si="5"/>
        <v>OK</v>
      </c>
      <c r="M82" s="39" t="str">
        <f t="shared" si="6"/>
        <v>ERROR</v>
      </c>
      <c r="N82" s="39" t="str">
        <f t="shared" si="7"/>
        <v>OK</v>
      </c>
      <c r="O82" t="s">
        <v>697</v>
      </c>
    </row>
    <row r="83" spans="3:15" x14ac:dyDescent="0.25">
      <c r="C83" s="1">
        <v>42937</v>
      </c>
      <c r="D83" s="5" t="s">
        <v>2</v>
      </c>
      <c r="E83" s="3">
        <v>10175397</v>
      </c>
      <c r="F83" s="4">
        <v>1270</v>
      </c>
      <c r="G83" t="s">
        <v>114</v>
      </c>
      <c r="I83" t="s">
        <v>1914</v>
      </c>
      <c r="J83" s="2">
        <v>10175397</v>
      </c>
      <c r="K83" s="39" t="str">
        <f t="shared" si="4"/>
        <v>SDC162481;RENEWAL</v>
      </c>
      <c r="L83" s="39" t="str">
        <f t="shared" si="5"/>
        <v>OK</v>
      </c>
      <c r="M83" s="39" t="str">
        <f t="shared" si="6"/>
        <v>ERROR</v>
      </c>
      <c r="N83" s="39" t="str">
        <f t="shared" si="7"/>
        <v>OK</v>
      </c>
      <c r="O83" t="s">
        <v>697</v>
      </c>
    </row>
    <row r="84" spans="3:15" x14ac:dyDescent="0.25">
      <c r="C84" s="1">
        <v>42937</v>
      </c>
      <c r="D84" s="5" t="s">
        <v>2</v>
      </c>
      <c r="E84" s="3">
        <v>10176600</v>
      </c>
      <c r="F84" s="4">
        <v>5323</v>
      </c>
      <c r="G84" t="s">
        <v>115</v>
      </c>
      <c r="I84" t="s">
        <v>1915</v>
      </c>
      <c r="J84" s="2" t="s">
        <v>116</v>
      </c>
      <c r="K84" s="39" t="str">
        <f t="shared" si="4"/>
        <v>SDC134565;RENEWAL</v>
      </c>
      <c r="L84" s="39" t="str">
        <f t="shared" si="5"/>
        <v>OK</v>
      </c>
      <c r="M84" s="39" t="str">
        <f t="shared" si="6"/>
        <v>ERROR</v>
      </c>
      <c r="N84" s="39" t="str">
        <f t="shared" si="7"/>
        <v>OK</v>
      </c>
      <c r="O84" t="s">
        <v>697</v>
      </c>
    </row>
    <row r="85" spans="3:15" x14ac:dyDescent="0.25">
      <c r="C85" s="1">
        <v>42937</v>
      </c>
      <c r="D85" s="5" t="s">
        <v>2</v>
      </c>
      <c r="E85" s="3">
        <v>10179016</v>
      </c>
      <c r="F85" s="4">
        <v>6204</v>
      </c>
      <c r="G85" t="s">
        <v>117</v>
      </c>
      <c r="I85" t="s">
        <v>1916</v>
      </c>
      <c r="J85" s="2" t="s">
        <v>118</v>
      </c>
      <c r="K85" s="39" t="str">
        <f t="shared" si="4"/>
        <v>SDC168399;RENEWAL</v>
      </c>
      <c r="L85" s="39" t="str">
        <f t="shared" si="5"/>
        <v>OK</v>
      </c>
      <c r="M85" s="39" t="str">
        <f t="shared" si="6"/>
        <v>ERROR</v>
      </c>
      <c r="N85" s="39" t="str">
        <f t="shared" si="7"/>
        <v>OK</v>
      </c>
      <c r="O85" t="s">
        <v>697</v>
      </c>
    </row>
    <row r="86" spans="3:15" x14ac:dyDescent="0.25">
      <c r="C86" s="1">
        <v>42937</v>
      </c>
      <c r="D86" s="5" t="s">
        <v>2</v>
      </c>
      <c r="E86" s="3">
        <v>10181675</v>
      </c>
      <c r="F86" s="4">
        <v>20500</v>
      </c>
      <c r="G86" t="s">
        <v>119</v>
      </c>
      <c r="I86" t="s">
        <v>1917</v>
      </c>
      <c r="J86" s="2">
        <v>10181675</v>
      </c>
      <c r="K86" s="39" t="str">
        <f t="shared" si="4"/>
        <v>SDC207036;RENEWAL</v>
      </c>
      <c r="L86" s="39" t="str">
        <f t="shared" si="5"/>
        <v>OK</v>
      </c>
      <c r="M86" s="39" t="str">
        <f t="shared" si="6"/>
        <v>ERROR</v>
      </c>
      <c r="N86" s="39" t="str">
        <f t="shared" si="7"/>
        <v>OK</v>
      </c>
      <c r="O86" t="s">
        <v>697</v>
      </c>
    </row>
    <row r="87" spans="3:15" x14ac:dyDescent="0.25">
      <c r="C87" s="1">
        <v>42937</v>
      </c>
      <c r="D87" s="5" t="s">
        <v>2</v>
      </c>
      <c r="E87" s="3">
        <v>10183963</v>
      </c>
      <c r="F87" s="4">
        <v>3000</v>
      </c>
      <c r="G87" t="s">
        <v>120</v>
      </c>
      <c r="I87" t="s">
        <v>1918</v>
      </c>
      <c r="J87" s="2" t="s">
        <v>121</v>
      </c>
      <c r="K87" s="39" t="str">
        <f t="shared" si="4"/>
        <v>SDC123323;RENEWAL</v>
      </c>
      <c r="L87" s="39" t="str">
        <f t="shared" si="5"/>
        <v>OK</v>
      </c>
      <c r="M87" s="39" t="str">
        <f t="shared" si="6"/>
        <v>ERROR</v>
      </c>
      <c r="N87" s="39" t="str">
        <f t="shared" si="7"/>
        <v>OK</v>
      </c>
      <c r="O87" t="s">
        <v>697</v>
      </c>
    </row>
    <row r="88" spans="3:15" x14ac:dyDescent="0.25">
      <c r="C88" s="1">
        <v>42937</v>
      </c>
      <c r="D88" s="5" t="s">
        <v>2</v>
      </c>
      <c r="E88" s="3">
        <v>10185377</v>
      </c>
      <c r="F88" s="4">
        <v>6570</v>
      </c>
      <c r="G88" t="s">
        <v>122</v>
      </c>
      <c r="I88" t="s">
        <v>1919</v>
      </c>
      <c r="J88" s="2">
        <v>10185377</v>
      </c>
      <c r="K88" s="39" t="str">
        <f t="shared" si="4"/>
        <v>SDC195850;RENEWAL</v>
      </c>
      <c r="L88" s="39" t="str">
        <f t="shared" si="5"/>
        <v>OK</v>
      </c>
      <c r="M88" s="39" t="str">
        <f t="shared" si="6"/>
        <v>ERROR</v>
      </c>
      <c r="N88" s="39" t="str">
        <f t="shared" si="7"/>
        <v>OK</v>
      </c>
      <c r="O88" t="s">
        <v>697</v>
      </c>
    </row>
    <row r="89" spans="3:15" x14ac:dyDescent="0.25">
      <c r="C89" s="1">
        <v>42937</v>
      </c>
      <c r="D89" s="5" t="s">
        <v>2</v>
      </c>
      <c r="E89" s="3">
        <v>10187591</v>
      </c>
      <c r="F89" s="4">
        <v>5368</v>
      </c>
      <c r="G89" t="s">
        <v>123</v>
      </c>
      <c r="I89" t="s">
        <v>1920</v>
      </c>
      <c r="J89" s="2" t="s">
        <v>124</v>
      </c>
      <c r="K89" s="39" t="str">
        <f t="shared" si="4"/>
        <v>SDC107690;RENEWAL</v>
      </c>
      <c r="L89" s="39" t="str">
        <f t="shared" si="5"/>
        <v>OK</v>
      </c>
      <c r="M89" s="39" t="str">
        <f t="shared" si="6"/>
        <v>ERROR</v>
      </c>
      <c r="N89" s="39" t="str">
        <f t="shared" si="7"/>
        <v>OK</v>
      </c>
      <c r="O89" t="s">
        <v>697</v>
      </c>
    </row>
    <row r="90" spans="3:15" x14ac:dyDescent="0.25">
      <c r="C90" s="1">
        <v>42937</v>
      </c>
      <c r="D90" s="5" t="s">
        <v>2</v>
      </c>
      <c r="E90" s="3">
        <v>10187951</v>
      </c>
      <c r="F90" s="4">
        <v>950</v>
      </c>
      <c r="G90" t="s">
        <v>125</v>
      </c>
      <c r="I90" t="s">
        <v>1921</v>
      </c>
      <c r="J90" s="2">
        <v>10187951</v>
      </c>
      <c r="K90" s="39" t="str">
        <f t="shared" si="4"/>
        <v>SDC204146;RENEWAL</v>
      </c>
      <c r="L90" s="39" t="str">
        <f t="shared" si="5"/>
        <v>OK</v>
      </c>
      <c r="M90" s="39" t="str">
        <f t="shared" si="6"/>
        <v>ERROR</v>
      </c>
      <c r="N90" s="39" t="str">
        <f t="shared" si="7"/>
        <v>OK</v>
      </c>
      <c r="O90" t="s">
        <v>697</v>
      </c>
    </row>
    <row r="91" spans="3:15" x14ac:dyDescent="0.25">
      <c r="C91" s="1">
        <v>42937</v>
      </c>
      <c r="D91" s="5" t="s">
        <v>2</v>
      </c>
      <c r="E91" s="3">
        <v>10188865</v>
      </c>
      <c r="F91" s="4">
        <v>2200</v>
      </c>
      <c r="G91" t="s">
        <v>126</v>
      </c>
      <c r="I91" t="s">
        <v>1923</v>
      </c>
      <c r="J91" s="2">
        <v>10188865</v>
      </c>
      <c r="K91" s="39" t="str">
        <f t="shared" si="4"/>
        <v>SDC204956;RENEWAL</v>
      </c>
      <c r="L91" s="39" t="str">
        <f t="shared" si="5"/>
        <v>OK</v>
      </c>
      <c r="M91" s="39" t="str">
        <f t="shared" si="6"/>
        <v>ERROR</v>
      </c>
      <c r="N91" s="39" t="str">
        <f t="shared" si="7"/>
        <v>OK</v>
      </c>
      <c r="O91" t="s">
        <v>697</v>
      </c>
    </row>
    <row r="92" spans="3:15" x14ac:dyDescent="0.25">
      <c r="C92" s="1">
        <v>42937</v>
      </c>
      <c r="D92" s="5" t="s">
        <v>2</v>
      </c>
      <c r="E92" s="3">
        <v>10191272</v>
      </c>
      <c r="F92" s="4">
        <v>1769</v>
      </c>
      <c r="G92" t="s">
        <v>127</v>
      </c>
      <c r="I92" t="s">
        <v>1924</v>
      </c>
      <c r="J92" s="2" t="s">
        <v>128</v>
      </c>
      <c r="K92" s="39" t="str">
        <f t="shared" si="4"/>
        <v>SDC113793;RENEWAL</v>
      </c>
      <c r="L92" s="39" t="str">
        <f t="shared" si="5"/>
        <v>OK</v>
      </c>
      <c r="M92" s="39" t="str">
        <f t="shared" si="6"/>
        <v>ERROR</v>
      </c>
      <c r="N92" s="39" t="str">
        <f t="shared" si="7"/>
        <v>OK</v>
      </c>
      <c r="O92" t="s">
        <v>697</v>
      </c>
    </row>
    <row r="93" spans="3:15" x14ac:dyDescent="0.25">
      <c r="C93" s="1">
        <v>42937</v>
      </c>
      <c r="D93" s="5" t="s">
        <v>2</v>
      </c>
      <c r="E93" s="3">
        <v>10191767</v>
      </c>
      <c r="F93" s="4">
        <v>8756</v>
      </c>
      <c r="G93" t="s">
        <v>129</v>
      </c>
      <c r="I93" t="s">
        <v>1925</v>
      </c>
      <c r="J93" s="2">
        <v>10191767</v>
      </c>
      <c r="K93" s="39" t="str">
        <f t="shared" si="4"/>
        <v>SDC191246;RENEWAL</v>
      </c>
      <c r="L93" s="39" t="str">
        <f t="shared" si="5"/>
        <v>OK</v>
      </c>
      <c r="M93" s="39" t="str">
        <f t="shared" si="6"/>
        <v>ERROR</v>
      </c>
      <c r="N93" s="39" t="str">
        <f t="shared" si="7"/>
        <v>OK</v>
      </c>
      <c r="O93" t="s">
        <v>697</v>
      </c>
    </row>
    <row r="94" spans="3:15" x14ac:dyDescent="0.25">
      <c r="C94" s="1">
        <v>42937</v>
      </c>
      <c r="D94" s="5" t="s">
        <v>2</v>
      </c>
      <c r="E94" s="3">
        <v>10197060</v>
      </c>
      <c r="F94" s="4">
        <v>3300</v>
      </c>
      <c r="G94" t="s">
        <v>130</v>
      </c>
      <c r="I94" t="s">
        <v>1926</v>
      </c>
      <c r="J94" s="2">
        <v>10197060</v>
      </c>
      <c r="K94" s="39" t="str">
        <f t="shared" si="4"/>
        <v>SDC199824;RENEWAL</v>
      </c>
      <c r="L94" s="39" t="str">
        <f t="shared" si="5"/>
        <v>OK</v>
      </c>
      <c r="M94" s="39" t="str">
        <f t="shared" si="6"/>
        <v>ERROR</v>
      </c>
      <c r="N94" s="39" t="str">
        <f t="shared" si="7"/>
        <v>OK</v>
      </c>
      <c r="O94" t="s">
        <v>697</v>
      </c>
    </row>
    <row r="95" spans="3:15" x14ac:dyDescent="0.25">
      <c r="C95" s="1">
        <v>42937</v>
      </c>
      <c r="D95" s="5" t="s">
        <v>2</v>
      </c>
      <c r="E95" s="3">
        <v>10197401</v>
      </c>
      <c r="F95" s="4">
        <v>2000</v>
      </c>
      <c r="G95" t="s">
        <v>131</v>
      </c>
      <c r="I95" t="s">
        <v>1927</v>
      </c>
      <c r="J95" s="2">
        <v>10197401</v>
      </c>
      <c r="K95" s="39" t="str">
        <f t="shared" si="4"/>
        <v>SDC177991;RENEWAL</v>
      </c>
      <c r="L95" s="39" t="str">
        <f t="shared" si="5"/>
        <v>OK</v>
      </c>
      <c r="M95" s="39" t="str">
        <f t="shared" si="6"/>
        <v>ERROR</v>
      </c>
      <c r="N95" s="39" t="str">
        <f t="shared" si="7"/>
        <v>OK</v>
      </c>
      <c r="O95" t="s">
        <v>697</v>
      </c>
    </row>
    <row r="96" spans="3:15" x14ac:dyDescent="0.25">
      <c r="C96" s="1">
        <v>42937</v>
      </c>
      <c r="D96" s="5" t="s">
        <v>2</v>
      </c>
      <c r="E96" s="3">
        <v>10197488</v>
      </c>
      <c r="F96" s="4">
        <v>5300</v>
      </c>
      <c r="G96" t="s">
        <v>132</v>
      </c>
      <c r="I96" t="s">
        <v>1928</v>
      </c>
      <c r="J96" s="2" t="s">
        <v>133</v>
      </c>
      <c r="K96" s="39" t="str">
        <f t="shared" si="4"/>
        <v>SDC136910;RENEWAL</v>
      </c>
      <c r="L96" s="39" t="str">
        <f t="shared" si="5"/>
        <v>OK</v>
      </c>
      <c r="M96" s="39" t="str">
        <f t="shared" si="6"/>
        <v>ERROR</v>
      </c>
      <c r="N96" s="39" t="str">
        <f t="shared" si="7"/>
        <v>OK</v>
      </c>
      <c r="O96" t="s">
        <v>697</v>
      </c>
    </row>
    <row r="97" spans="3:15" x14ac:dyDescent="0.25">
      <c r="C97" s="1">
        <v>42937</v>
      </c>
      <c r="D97" s="5" t="s">
        <v>2</v>
      </c>
      <c r="E97" s="3">
        <v>10199310</v>
      </c>
      <c r="F97" s="4">
        <v>6500</v>
      </c>
      <c r="G97" t="s">
        <v>134</v>
      </c>
      <c r="I97" t="s">
        <v>1929</v>
      </c>
      <c r="J97" s="2">
        <v>10199310</v>
      </c>
      <c r="K97" s="39" t="str">
        <f t="shared" si="4"/>
        <v>SDC170654;RENEWAL</v>
      </c>
      <c r="L97" s="39" t="str">
        <f t="shared" si="5"/>
        <v>OK</v>
      </c>
      <c r="M97" s="39" t="str">
        <f t="shared" si="6"/>
        <v>ERROR</v>
      </c>
      <c r="N97" s="39" t="str">
        <f t="shared" si="7"/>
        <v>OK</v>
      </c>
      <c r="O97" t="s">
        <v>697</v>
      </c>
    </row>
    <row r="98" spans="3:15" x14ac:dyDescent="0.25">
      <c r="C98" s="1">
        <v>42937</v>
      </c>
      <c r="D98" s="5" t="s">
        <v>136</v>
      </c>
      <c r="E98" s="3">
        <v>10199762</v>
      </c>
      <c r="F98" s="4">
        <v>4000</v>
      </c>
      <c r="G98" t="s">
        <v>135</v>
      </c>
      <c r="I98" t="s">
        <v>1930</v>
      </c>
      <c r="J98" s="2">
        <v>10199762</v>
      </c>
      <c r="K98" s="39" t="str">
        <f t="shared" si="4"/>
        <v>SDC182275;RENEWAL</v>
      </c>
      <c r="L98" s="39" t="str">
        <f t="shared" si="5"/>
        <v>OK</v>
      </c>
      <c r="M98" s="39" t="str">
        <f t="shared" si="6"/>
        <v>ERROR</v>
      </c>
      <c r="N98" s="39" t="str">
        <f t="shared" si="7"/>
        <v>OK</v>
      </c>
      <c r="O98" t="s">
        <v>701</v>
      </c>
    </row>
    <row r="99" spans="3:15" x14ac:dyDescent="0.25">
      <c r="C99" s="1">
        <v>42937</v>
      </c>
      <c r="D99" s="5" t="s">
        <v>2</v>
      </c>
      <c r="E99" s="3">
        <v>10202519</v>
      </c>
      <c r="F99" s="4">
        <v>1023</v>
      </c>
      <c r="G99" t="s">
        <v>137</v>
      </c>
      <c r="I99" t="s">
        <v>1931</v>
      </c>
      <c r="J99" s="2" t="s">
        <v>138</v>
      </c>
      <c r="K99" s="39" t="str">
        <f t="shared" si="4"/>
        <v>SDC107704;RENEWAL</v>
      </c>
      <c r="L99" s="39" t="str">
        <f t="shared" si="5"/>
        <v>OK</v>
      </c>
      <c r="M99" s="39" t="str">
        <f t="shared" si="6"/>
        <v>ERROR</v>
      </c>
      <c r="N99" s="39" t="str">
        <f t="shared" si="7"/>
        <v>OK</v>
      </c>
      <c r="O99" t="s">
        <v>697</v>
      </c>
    </row>
    <row r="100" spans="3:15" x14ac:dyDescent="0.25">
      <c r="C100" s="1">
        <v>42937</v>
      </c>
      <c r="D100" s="5" t="s">
        <v>2</v>
      </c>
      <c r="E100" s="3">
        <v>10209135</v>
      </c>
      <c r="F100" s="4">
        <v>15367</v>
      </c>
      <c r="G100" t="s">
        <v>139</v>
      </c>
      <c r="I100" t="s">
        <v>1932</v>
      </c>
      <c r="J100" s="2" t="s">
        <v>140</v>
      </c>
      <c r="K100" s="39" t="str">
        <f t="shared" si="4"/>
        <v>SDC109629;RENEWAL</v>
      </c>
      <c r="L100" s="39" t="str">
        <f t="shared" si="5"/>
        <v>OK</v>
      </c>
      <c r="M100" s="39" t="str">
        <f t="shared" si="6"/>
        <v>ERROR</v>
      </c>
      <c r="N100" s="39" t="str">
        <f t="shared" si="7"/>
        <v>OK</v>
      </c>
      <c r="O100" t="s">
        <v>697</v>
      </c>
    </row>
    <row r="101" spans="3:15" x14ac:dyDescent="0.25">
      <c r="C101" s="1">
        <v>42937</v>
      </c>
      <c r="D101" s="5" t="s">
        <v>2</v>
      </c>
      <c r="E101" s="3">
        <v>10214599</v>
      </c>
      <c r="F101" s="4">
        <v>8814</v>
      </c>
      <c r="G101" t="s">
        <v>141</v>
      </c>
      <c r="I101" t="s">
        <v>1512</v>
      </c>
      <c r="J101" s="2">
        <v>10214599</v>
      </c>
      <c r="K101" s="39" t="str">
        <f t="shared" si="4"/>
        <v>SDC190365;RENEWAL</v>
      </c>
      <c r="L101" s="39" t="str">
        <f t="shared" si="5"/>
        <v>OK</v>
      </c>
      <c r="M101" s="39" t="str">
        <f t="shared" si="6"/>
        <v>ERROR</v>
      </c>
      <c r="N101" s="39" t="str">
        <f t="shared" si="7"/>
        <v>OK</v>
      </c>
      <c r="O101" t="s">
        <v>697</v>
      </c>
    </row>
    <row r="102" spans="3:15" x14ac:dyDescent="0.25">
      <c r="C102" s="1">
        <v>42937</v>
      </c>
      <c r="D102" s="5" t="s">
        <v>2</v>
      </c>
      <c r="E102" s="3">
        <v>10215451</v>
      </c>
      <c r="F102" s="4">
        <v>5000</v>
      </c>
      <c r="G102" t="s">
        <v>142</v>
      </c>
      <c r="I102" t="s">
        <v>1513</v>
      </c>
      <c r="J102" s="2">
        <v>10215451</v>
      </c>
      <c r="K102" s="39" t="str">
        <f t="shared" si="4"/>
        <v>SDC203285;RENEWAL</v>
      </c>
      <c r="L102" s="39" t="str">
        <f t="shared" si="5"/>
        <v>OK</v>
      </c>
      <c r="M102" s="39" t="str">
        <f t="shared" si="6"/>
        <v>ERROR</v>
      </c>
      <c r="N102" s="39" t="str">
        <f t="shared" si="7"/>
        <v>OK</v>
      </c>
      <c r="O102" t="s">
        <v>697</v>
      </c>
    </row>
    <row r="103" spans="3:15" x14ac:dyDescent="0.25">
      <c r="C103" s="1">
        <v>42937</v>
      </c>
      <c r="D103" s="5" t="s">
        <v>2</v>
      </c>
      <c r="E103" s="3">
        <v>10215453</v>
      </c>
      <c r="F103" s="4">
        <v>5000</v>
      </c>
      <c r="G103" t="s">
        <v>143</v>
      </c>
      <c r="I103" t="s">
        <v>1514</v>
      </c>
      <c r="J103" s="2">
        <v>10215453</v>
      </c>
      <c r="K103" s="39" t="str">
        <f t="shared" si="4"/>
        <v>SDC203380;RENEWAL</v>
      </c>
      <c r="L103" s="39" t="str">
        <f t="shared" si="5"/>
        <v>OK</v>
      </c>
      <c r="M103" s="39" t="str">
        <f t="shared" si="6"/>
        <v>ERROR</v>
      </c>
      <c r="N103" s="39" t="str">
        <f t="shared" si="7"/>
        <v>OK</v>
      </c>
      <c r="O103" t="s">
        <v>697</v>
      </c>
    </row>
    <row r="104" spans="3:15" x14ac:dyDescent="0.25">
      <c r="C104" s="1">
        <v>42937</v>
      </c>
      <c r="D104" s="5" t="s">
        <v>2</v>
      </c>
      <c r="E104" s="3">
        <v>10219148</v>
      </c>
      <c r="F104" s="4">
        <v>2100</v>
      </c>
      <c r="G104" t="s">
        <v>144</v>
      </c>
      <c r="I104" t="s">
        <v>1515</v>
      </c>
      <c r="J104" s="2">
        <v>10219148</v>
      </c>
      <c r="K104" s="39" t="str">
        <f t="shared" si="4"/>
        <v>SDC164588;RENEWAL</v>
      </c>
      <c r="L104" s="39" t="str">
        <f t="shared" si="5"/>
        <v>OK</v>
      </c>
      <c r="M104" s="39" t="str">
        <f t="shared" si="6"/>
        <v>ERROR</v>
      </c>
      <c r="N104" s="39" t="str">
        <f t="shared" si="7"/>
        <v>OK</v>
      </c>
      <c r="O104" t="s">
        <v>697</v>
      </c>
    </row>
    <row r="105" spans="3:15" x14ac:dyDescent="0.25">
      <c r="C105" s="1">
        <v>42937</v>
      </c>
      <c r="D105" s="5" t="s">
        <v>2</v>
      </c>
      <c r="E105" s="3">
        <v>10219248</v>
      </c>
      <c r="F105" s="4">
        <v>2170</v>
      </c>
      <c r="G105" t="s">
        <v>145</v>
      </c>
      <c r="I105" t="s">
        <v>1516</v>
      </c>
      <c r="J105" s="2">
        <v>10219248</v>
      </c>
      <c r="K105" s="39" t="str">
        <f t="shared" si="4"/>
        <v>SDC172331;RENEWAL</v>
      </c>
      <c r="L105" s="39" t="str">
        <f t="shared" si="5"/>
        <v>OK</v>
      </c>
      <c r="M105" s="39" t="str">
        <f t="shared" si="6"/>
        <v>ERROR</v>
      </c>
      <c r="N105" s="39" t="str">
        <f t="shared" si="7"/>
        <v>OK</v>
      </c>
      <c r="O105" t="s">
        <v>697</v>
      </c>
    </row>
    <row r="106" spans="3:15" x14ac:dyDescent="0.25">
      <c r="C106" s="1">
        <v>42937</v>
      </c>
      <c r="D106" s="5" t="s">
        <v>2</v>
      </c>
      <c r="E106" s="3">
        <v>10221455</v>
      </c>
      <c r="F106" s="4">
        <v>2000</v>
      </c>
      <c r="G106" t="s">
        <v>146</v>
      </c>
      <c r="I106" t="s">
        <v>1517</v>
      </c>
      <c r="J106" s="2">
        <v>10221455</v>
      </c>
      <c r="K106" s="39" t="str">
        <f t="shared" si="4"/>
        <v>SDC178537;RENEWAL</v>
      </c>
      <c r="L106" s="39" t="str">
        <f t="shared" si="5"/>
        <v>OK</v>
      </c>
      <c r="M106" s="39" t="str">
        <f t="shared" si="6"/>
        <v>ERROR</v>
      </c>
      <c r="N106" s="39" t="str">
        <f t="shared" si="7"/>
        <v>OK</v>
      </c>
      <c r="O106" t="s">
        <v>697</v>
      </c>
    </row>
    <row r="107" spans="3:15" x14ac:dyDescent="0.25">
      <c r="C107" s="1">
        <v>42937</v>
      </c>
      <c r="D107" s="5" t="s">
        <v>2</v>
      </c>
      <c r="E107" s="3">
        <v>10223562</v>
      </c>
      <c r="F107" s="4">
        <v>1475</v>
      </c>
      <c r="G107" t="s">
        <v>147</v>
      </c>
      <c r="I107" t="s">
        <v>1518</v>
      </c>
      <c r="J107" s="2" t="s">
        <v>148</v>
      </c>
      <c r="K107" s="39" t="str">
        <f t="shared" si="4"/>
        <v>SDC123309;RENEWAL</v>
      </c>
      <c r="L107" s="39" t="str">
        <f t="shared" si="5"/>
        <v>OK</v>
      </c>
      <c r="M107" s="39" t="str">
        <f t="shared" si="6"/>
        <v>ERROR</v>
      </c>
      <c r="N107" s="39" t="str">
        <f t="shared" si="7"/>
        <v>OK</v>
      </c>
      <c r="O107" t="s">
        <v>697</v>
      </c>
    </row>
    <row r="108" spans="3:15" x14ac:dyDescent="0.25">
      <c r="C108" s="1">
        <v>42937</v>
      </c>
      <c r="D108" s="5" t="s">
        <v>2</v>
      </c>
      <c r="E108" s="3">
        <v>10226257</v>
      </c>
      <c r="F108" s="4">
        <v>6445</v>
      </c>
      <c r="G108" t="s">
        <v>149</v>
      </c>
      <c r="I108" t="s">
        <v>1519</v>
      </c>
      <c r="J108" s="2" t="s">
        <v>150</v>
      </c>
      <c r="K108" s="39" t="str">
        <f t="shared" si="4"/>
        <v>SDC122239;RENEWAL</v>
      </c>
      <c r="L108" s="39" t="str">
        <f t="shared" si="5"/>
        <v>OK</v>
      </c>
      <c r="M108" s="39" t="str">
        <f t="shared" si="6"/>
        <v>ERROR</v>
      </c>
      <c r="N108" s="39" t="str">
        <f t="shared" si="7"/>
        <v>OK</v>
      </c>
      <c r="O108" t="s">
        <v>697</v>
      </c>
    </row>
    <row r="109" spans="3:15" x14ac:dyDescent="0.25">
      <c r="C109" s="1">
        <v>42937</v>
      </c>
      <c r="D109" s="5" t="s">
        <v>2</v>
      </c>
      <c r="E109" s="3">
        <v>10227643</v>
      </c>
      <c r="F109" s="4">
        <v>2063</v>
      </c>
      <c r="G109" t="s">
        <v>151</v>
      </c>
      <c r="I109" t="s">
        <v>1520</v>
      </c>
      <c r="J109" s="2">
        <v>10227643</v>
      </c>
      <c r="K109" s="39" t="str">
        <f t="shared" si="4"/>
        <v>SDC211433;RENEWAL</v>
      </c>
      <c r="L109" s="39" t="str">
        <f t="shared" si="5"/>
        <v>OK</v>
      </c>
      <c r="M109" s="39" t="str">
        <f t="shared" si="6"/>
        <v>ERROR</v>
      </c>
      <c r="N109" s="39" t="str">
        <f t="shared" si="7"/>
        <v>OK</v>
      </c>
      <c r="O109" t="s">
        <v>697</v>
      </c>
    </row>
    <row r="110" spans="3:15" x14ac:dyDescent="0.25">
      <c r="C110" s="1">
        <v>42937</v>
      </c>
      <c r="D110" s="5" t="s">
        <v>2</v>
      </c>
      <c r="E110" s="3">
        <v>10238324</v>
      </c>
      <c r="F110" s="4">
        <v>15000</v>
      </c>
      <c r="G110" t="s">
        <v>152</v>
      </c>
      <c r="I110" t="s">
        <v>1521</v>
      </c>
      <c r="J110" s="2">
        <v>10238324</v>
      </c>
      <c r="K110" s="39" t="str">
        <f t="shared" si="4"/>
        <v>SDC171355;RENEWAL</v>
      </c>
      <c r="L110" s="39" t="str">
        <f t="shared" si="5"/>
        <v>OK</v>
      </c>
      <c r="M110" s="39" t="str">
        <f t="shared" si="6"/>
        <v>ERROR</v>
      </c>
      <c r="N110" s="39" t="str">
        <f t="shared" si="7"/>
        <v>OK</v>
      </c>
      <c r="O110" t="s">
        <v>697</v>
      </c>
    </row>
    <row r="111" spans="3:15" x14ac:dyDescent="0.25">
      <c r="C111" s="1">
        <v>42937</v>
      </c>
      <c r="D111" s="5" t="s">
        <v>2</v>
      </c>
      <c r="E111" s="3">
        <v>10239942</v>
      </c>
      <c r="F111" s="4">
        <v>2250</v>
      </c>
      <c r="G111" t="s">
        <v>153</v>
      </c>
      <c r="I111" t="s">
        <v>1523</v>
      </c>
      <c r="J111" s="2">
        <v>10239942</v>
      </c>
      <c r="K111" s="39" t="str">
        <f t="shared" si="4"/>
        <v>SDC190690;RENEWAL</v>
      </c>
      <c r="L111" s="39" t="str">
        <f t="shared" si="5"/>
        <v>OK</v>
      </c>
      <c r="M111" s="39" t="str">
        <f t="shared" si="6"/>
        <v>ERROR</v>
      </c>
      <c r="N111" s="39" t="str">
        <f t="shared" si="7"/>
        <v>OK</v>
      </c>
      <c r="O111" t="s">
        <v>697</v>
      </c>
    </row>
    <row r="112" spans="3:15" x14ac:dyDescent="0.25">
      <c r="C112" s="1">
        <v>42937</v>
      </c>
      <c r="D112" s="5" t="s">
        <v>2</v>
      </c>
      <c r="E112" s="3">
        <v>10242269</v>
      </c>
      <c r="F112" s="4">
        <v>2600</v>
      </c>
      <c r="G112" t="s">
        <v>154</v>
      </c>
      <c r="I112" t="s">
        <v>1524</v>
      </c>
      <c r="J112" s="2">
        <v>10242269</v>
      </c>
      <c r="K112" s="39" t="str">
        <f t="shared" si="4"/>
        <v>SDC170848;RENEWAL</v>
      </c>
      <c r="L112" s="39" t="str">
        <f t="shared" si="5"/>
        <v>OK</v>
      </c>
      <c r="M112" s="39" t="str">
        <f t="shared" si="6"/>
        <v>ERROR</v>
      </c>
      <c r="N112" s="39" t="str">
        <f t="shared" si="7"/>
        <v>OK</v>
      </c>
      <c r="O112" t="s">
        <v>697</v>
      </c>
    </row>
    <row r="113" spans="3:15" x14ac:dyDescent="0.25">
      <c r="C113" s="1">
        <v>42937</v>
      </c>
      <c r="D113" s="5" t="s">
        <v>136</v>
      </c>
      <c r="E113" s="3">
        <v>10248514</v>
      </c>
      <c r="F113" s="4">
        <v>3000</v>
      </c>
      <c r="G113" t="s">
        <v>155</v>
      </c>
      <c r="I113" t="s">
        <v>1525</v>
      </c>
      <c r="J113" s="2" t="s">
        <v>156</v>
      </c>
      <c r="K113" s="39" t="str">
        <f t="shared" si="4"/>
        <v>SDC131339;RENEWAL</v>
      </c>
      <c r="L113" s="39" t="str">
        <f t="shared" si="5"/>
        <v>OK</v>
      </c>
      <c r="M113" s="39" t="str">
        <f t="shared" si="6"/>
        <v>ERROR</v>
      </c>
      <c r="N113" s="39" t="str">
        <f t="shared" si="7"/>
        <v>OK</v>
      </c>
      <c r="O113" t="s">
        <v>701</v>
      </c>
    </row>
    <row r="114" spans="3:15" x14ac:dyDescent="0.25">
      <c r="C114" s="1">
        <v>42937</v>
      </c>
      <c r="D114" s="5" t="s">
        <v>2</v>
      </c>
      <c r="E114" s="3">
        <v>10248584</v>
      </c>
      <c r="F114" s="4">
        <v>2620</v>
      </c>
      <c r="G114" t="s">
        <v>157</v>
      </c>
      <c r="I114" t="s">
        <v>1526</v>
      </c>
      <c r="J114" s="2">
        <v>10248584</v>
      </c>
      <c r="K114" s="39" t="str">
        <f t="shared" si="4"/>
        <v>SDC169210;RENEWAL</v>
      </c>
      <c r="L114" s="39" t="str">
        <f t="shared" si="5"/>
        <v>OK</v>
      </c>
      <c r="M114" s="39" t="str">
        <f t="shared" si="6"/>
        <v>ERROR</v>
      </c>
      <c r="N114" s="39" t="str">
        <f t="shared" si="7"/>
        <v>OK</v>
      </c>
      <c r="O114" t="s">
        <v>697</v>
      </c>
    </row>
    <row r="115" spans="3:15" x14ac:dyDescent="0.25">
      <c r="C115" s="1">
        <v>42937</v>
      </c>
      <c r="D115" s="5" t="s">
        <v>2</v>
      </c>
      <c r="E115" s="3">
        <v>10248798</v>
      </c>
      <c r="F115" s="4">
        <v>2551</v>
      </c>
      <c r="G115" t="s">
        <v>158</v>
      </c>
      <c r="I115" t="s">
        <v>1527</v>
      </c>
      <c r="J115" s="2">
        <v>10248798</v>
      </c>
      <c r="K115" s="39" t="str">
        <f t="shared" si="4"/>
        <v>SDC200624;RENEWAL</v>
      </c>
      <c r="L115" s="39" t="str">
        <f t="shared" si="5"/>
        <v>OK</v>
      </c>
      <c r="M115" s="39" t="str">
        <f t="shared" si="6"/>
        <v>ERROR</v>
      </c>
      <c r="N115" s="39" t="str">
        <f t="shared" si="7"/>
        <v>OK</v>
      </c>
      <c r="O115" t="s">
        <v>697</v>
      </c>
    </row>
    <row r="116" spans="3:15" x14ac:dyDescent="0.25">
      <c r="C116" s="1">
        <v>42937</v>
      </c>
      <c r="D116" s="5" t="s">
        <v>136</v>
      </c>
      <c r="E116" s="3">
        <v>10248955</v>
      </c>
      <c r="F116" s="4">
        <v>3000</v>
      </c>
      <c r="G116" t="s">
        <v>159</v>
      </c>
      <c r="I116" t="s">
        <v>1528</v>
      </c>
      <c r="J116" s="2" t="s">
        <v>160</v>
      </c>
      <c r="K116" s="39" t="str">
        <f t="shared" si="4"/>
        <v>SDC131494;RENEWAL</v>
      </c>
      <c r="L116" s="39" t="str">
        <f t="shared" si="5"/>
        <v>OK</v>
      </c>
      <c r="M116" s="39" t="str">
        <f t="shared" si="6"/>
        <v>ERROR</v>
      </c>
      <c r="N116" s="39" t="str">
        <f t="shared" si="7"/>
        <v>OK</v>
      </c>
      <c r="O116" t="s">
        <v>701</v>
      </c>
    </row>
    <row r="117" spans="3:15" x14ac:dyDescent="0.25">
      <c r="C117" s="1">
        <v>42937</v>
      </c>
      <c r="D117" s="5" t="s">
        <v>136</v>
      </c>
      <c r="E117" s="3">
        <v>10249961</v>
      </c>
      <c r="F117" s="4">
        <v>3000</v>
      </c>
      <c r="G117" t="s">
        <v>161</v>
      </c>
      <c r="I117" t="s">
        <v>1529</v>
      </c>
      <c r="J117" s="2" t="s">
        <v>162</v>
      </c>
      <c r="K117" s="39" t="str">
        <f t="shared" si="4"/>
        <v>SDC131771;RENEWAL</v>
      </c>
      <c r="L117" s="39" t="str">
        <f t="shared" si="5"/>
        <v>OK</v>
      </c>
      <c r="M117" s="39" t="str">
        <f t="shared" si="6"/>
        <v>ERROR</v>
      </c>
      <c r="N117" s="39" t="str">
        <f t="shared" si="7"/>
        <v>OK</v>
      </c>
      <c r="O117" t="s">
        <v>701</v>
      </c>
    </row>
    <row r="118" spans="3:15" x14ac:dyDescent="0.25">
      <c r="C118" s="1">
        <v>42937</v>
      </c>
      <c r="D118" s="5" t="s">
        <v>136</v>
      </c>
      <c r="E118" s="3">
        <v>10250043</v>
      </c>
      <c r="F118" s="4">
        <v>3000</v>
      </c>
      <c r="G118" t="s">
        <v>163</v>
      </c>
      <c r="I118" t="s">
        <v>1530</v>
      </c>
      <c r="J118" s="2" t="s">
        <v>164</v>
      </c>
      <c r="K118" s="39" t="str">
        <f t="shared" si="4"/>
        <v>SDC131628;RENEWAL</v>
      </c>
      <c r="L118" s="39" t="str">
        <f t="shared" si="5"/>
        <v>OK</v>
      </c>
      <c r="M118" s="39" t="str">
        <f t="shared" si="6"/>
        <v>ERROR</v>
      </c>
      <c r="N118" s="39" t="str">
        <f t="shared" si="7"/>
        <v>OK</v>
      </c>
      <c r="O118" t="s">
        <v>701</v>
      </c>
    </row>
    <row r="119" spans="3:15" x14ac:dyDescent="0.25">
      <c r="C119" s="1">
        <v>42937</v>
      </c>
      <c r="D119" s="5" t="s">
        <v>136</v>
      </c>
      <c r="E119" s="3">
        <v>10252183</v>
      </c>
      <c r="F119" s="4">
        <v>3000</v>
      </c>
      <c r="G119" t="s">
        <v>165</v>
      </c>
      <c r="I119" t="s">
        <v>1531</v>
      </c>
      <c r="J119" s="2" t="s">
        <v>166</v>
      </c>
      <c r="K119" s="39" t="str">
        <f t="shared" si="4"/>
        <v>SDC132326;RENEWAL</v>
      </c>
      <c r="L119" s="39" t="str">
        <f t="shared" si="5"/>
        <v>OK</v>
      </c>
      <c r="M119" s="39" t="str">
        <f t="shared" si="6"/>
        <v>ERROR</v>
      </c>
      <c r="N119" s="39" t="str">
        <f t="shared" si="7"/>
        <v>OK</v>
      </c>
      <c r="O119" t="s">
        <v>701</v>
      </c>
    </row>
    <row r="120" spans="3:15" x14ac:dyDescent="0.25">
      <c r="C120" s="1">
        <v>42937</v>
      </c>
      <c r="D120" s="5" t="s">
        <v>2</v>
      </c>
      <c r="E120" s="3">
        <v>10252340</v>
      </c>
      <c r="F120" s="4">
        <v>7000</v>
      </c>
      <c r="G120" t="s">
        <v>167</v>
      </c>
      <c r="I120" t="s">
        <v>1532</v>
      </c>
      <c r="J120" s="2">
        <v>10252340</v>
      </c>
      <c r="K120" s="39" t="str">
        <f t="shared" si="4"/>
        <v>SDC161633;RENEWAL</v>
      </c>
      <c r="L120" s="39" t="str">
        <f t="shared" si="5"/>
        <v>OK</v>
      </c>
      <c r="M120" s="39" t="str">
        <f t="shared" si="6"/>
        <v>ERROR</v>
      </c>
      <c r="N120" s="39" t="str">
        <f t="shared" si="7"/>
        <v>OK</v>
      </c>
      <c r="O120" t="s">
        <v>697</v>
      </c>
    </row>
    <row r="121" spans="3:15" x14ac:dyDescent="0.25">
      <c r="C121" s="1">
        <v>42937</v>
      </c>
      <c r="D121" s="5" t="s">
        <v>2</v>
      </c>
      <c r="E121" s="3">
        <v>10252712</v>
      </c>
      <c r="F121" s="4">
        <v>60958</v>
      </c>
      <c r="G121" t="s">
        <v>168</v>
      </c>
      <c r="I121" t="s">
        <v>1534</v>
      </c>
      <c r="J121" s="2">
        <v>10252712</v>
      </c>
      <c r="K121" s="39" t="str">
        <f t="shared" si="4"/>
        <v>SDC181279;RENEWAL</v>
      </c>
      <c r="L121" s="39" t="str">
        <f t="shared" si="5"/>
        <v>OK</v>
      </c>
      <c r="M121" s="39" t="str">
        <f t="shared" si="6"/>
        <v>ERROR</v>
      </c>
      <c r="N121" s="39" t="str">
        <f t="shared" si="7"/>
        <v>OK</v>
      </c>
      <c r="O121" t="s">
        <v>697</v>
      </c>
    </row>
    <row r="122" spans="3:15" x14ac:dyDescent="0.25">
      <c r="C122" s="1">
        <v>42937</v>
      </c>
      <c r="D122" s="5" t="s">
        <v>136</v>
      </c>
      <c r="E122" s="3">
        <v>10253128</v>
      </c>
      <c r="F122" s="4">
        <v>3000</v>
      </c>
      <c r="G122" t="s">
        <v>169</v>
      </c>
      <c r="I122" t="s">
        <v>1535</v>
      </c>
      <c r="J122" s="2" t="s">
        <v>170</v>
      </c>
      <c r="K122" s="39" t="str">
        <f t="shared" si="4"/>
        <v>SDC132401;RENEWAL</v>
      </c>
      <c r="L122" s="39" t="str">
        <f t="shared" si="5"/>
        <v>OK</v>
      </c>
      <c r="M122" s="39" t="str">
        <f t="shared" si="6"/>
        <v>ERROR</v>
      </c>
      <c r="N122" s="39" t="str">
        <f t="shared" si="7"/>
        <v>OK</v>
      </c>
      <c r="O122" t="s">
        <v>701</v>
      </c>
    </row>
    <row r="123" spans="3:15" x14ac:dyDescent="0.25">
      <c r="C123" s="1">
        <v>42937</v>
      </c>
      <c r="D123" s="5" t="s">
        <v>136</v>
      </c>
      <c r="E123" s="3">
        <v>10253306</v>
      </c>
      <c r="F123" s="4">
        <v>3000</v>
      </c>
      <c r="G123" t="s">
        <v>171</v>
      </c>
      <c r="I123" t="s">
        <v>1536</v>
      </c>
      <c r="J123" s="2" t="s">
        <v>172</v>
      </c>
      <c r="K123" s="39" t="str">
        <f t="shared" si="4"/>
        <v>SDC132643;RENEWAL</v>
      </c>
      <c r="L123" s="39" t="str">
        <f t="shared" si="5"/>
        <v>OK</v>
      </c>
      <c r="M123" s="39" t="str">
        <f t="shared" si="6"/>
        <v>ERROR</v>
      </c>
      <c r="N123" s="39" t="str">
        <f t="shared" si="7"/>
        <v>OK</v>
      </c>
      <c r="O123" t="s">
        <v>701</v>
      </c>
    </row>
    <row r="124" spans="3:15" x14ac:dyDescent="0.25">
      <c r="C124" s="1">
        <v>42937</v>
      </c>
      <c r="D124" s="5" t="s">
        <v>136</v>
      </c>
      <c r="E124" s="3">
        <v>10253503</v>
      </c>
      <c r="F124" s="4">
        <v>3000</v>
      </c>
      <c r="G124" t="s">
        <v>173</v>
      </c>
      <c r="I124" t="s">
        <v>1537</v>
      </c>
      <c r="J124" s="2" t="s">
        <v>174</v>
      </c>
      <c r="K124" s="39" t="str">
        <f t="shared" si="4"/>
        <v>SDC132524;RENEWAL</v>
      </c>
      <c r="L124" s="39" t="str">
        <f t="shared" si="5"/>
        <v>OK</v>
      </c>
      <c r="M124" s="39" t="str">
        <f t="shared" si="6"/>
        <v>ERROR</v>
      </c>
      <c r="N124" s="39" t="str">
        <f t="shared" si="7"/>
        <v>OK</v>
      </c>
      <c r="O124" t="s">
        <v>701</v>
      </c>
    </row>
    <row r="125" spans="3:15" x14ac:dyDescent="0.25">
      <c r="C125" s="1">
        <v>42937</v>
      </c>
      <c r="D125" s="5" t="s">
        <v>136</v>
      </c>
      <c r="E125" s="3">
        <v>10253505</v>
      </c>
      <c r="F125" s="4">
        <v>3000</v>
      </c>
      <c r="G125" t="s">
        <v>175</v>
      </c>
      <c r="I125" t="s">
        <v>1538</v>
      </c>
      <c r="J125" s="2" t="s">
        <v>176</v>
      </c>
      <c r="K125" s="39" t="str">
        <f t="shared" si="4"/>
        <v>SDC132443;RENEWAL</v>
      </c>
      <c r="L125" s="39" t="str">
        <f t="shared" si="5"/>
        <v>OK</v>
      </c>
      <c r="M125" s="39" t="str">
        <f t="shared" si="6"/>
        <v>ERROR</v>
      </c>
      <c r="N125" s="39" t="str">
        <f t="shared" si="7"/>
        <v>OK</v>
      </c>
      <c r="O125" t="s">
        <v>701</v>
      </c>
    </row>
    <row r="126" spans="3:15" x14ac:dyDescent="0.25">
      <c r="C126" s="1">
        <v>42937</v>
      </c>
      <c r="D126" s="5" t="s">
        <v>136</v>
      </c>
      <c r="E126" s="3">
        <v>10253618</v>
      </c>
      <c r="F126" s="4">
        <v>3000</v>
      </c>
      <c r="G126" t="s">
        <v>177</v>
      </c>
      <c r="I126" t="s">
        <v>1539</v>
      </c>
      <c r="J126" s="2" t="s">
        <v>178</v>
      </c>
      <c r="K126" s="39" t="str">
        <f t="shared" si="4"/>
        <v>SDC132685;RENEWAL</v>
      </c>
      <c r="L126" s="39" t="str">
        <f t="shared" si="5"/>
        <v>OK</v>
      </c>
      <c r="M126" s="39" t="str">
        <f t="shared" si="6"/>
        <v>ERROR</v>
      </c>
      <c r="N126" s="39" t="str">
        <f t="shared" si="7"/>
        <v>OK</v>
      </c>
      <c r="O126" t="s">
        <v>701</v>
      </c>
    </row>
    <row r="127" spans="3:15" x14ac:dyDescent="0.25">
      <c r="C127" s="1">
        <v>42937</v>
      </c>
      <c r="D127" s="5" t="s">
        <v>2</v>
      </c>
      <c r="E127" s="3">
        <v>10254953</v>
      </c>
      <c r="F127" s="4">
        <v>3000</v>
      </c>
      <c r="G127" t="s">
        <v>179</v>
      </c>
      <c r="I127" t="s">
        <v>1540</v>
      </c>
      <c r="J127" s="2">
        <v>10254953</v>
      </c>
      <c r="K127" s="39" t="str">
        <f t="shared" si="4"/>
        <v>SDC179912;RENEWAL</v>
      </c>
      <c r="L127" s="39" t="str">
        <f t="shared" si="5"/>
        <v>OK</v>
      </c>
      <c r="M127" s="39" t="str">
        <f t="shared" si="6"/>
        <v>ERROR</v>
      </c>
      <c r="N127" s="39" t="str">
        <f t="shared" si="7"/>
        <v>OK</v>
      </c>
      <c r="O127" t="s">
        <v>697</v>
      </c>
    </row>
    <row r="128" spans="3:15" x14ac:dyDescent="0.25">
      <c r="C128" s="1">
        <v>42937</v>
      </c>
      <c r="D128" s="5" t="s">
        <v>2</v>
      </c>
      <c r="E128" s="3">
        <v>10255713</v>
      </c>
      <c r="F128" s="4">
        <v>3984</v>
      </c>
      <c r="G128" t="s">
        <v>180</v>
      </c>
      <c r="I128" t="s">
        <v>1541</v>
      </c>
      <c r="J128" s="2" t="s">
        <v>181</v>
      </c>
      <c r="K128" s="39" t="str">
        <f t="shared" si="4"/>
        <v>SDC129981;RENEWAL</v>
      </c>
      <c r="L128" s="39" t="str">
        <f t="shared" si="5"/>
        <v>OK</v>
      </c>
      <c r="M128" s="39" t="str">
        <f t="shared" si="6"/>
        <v>ERROR</v>
      </c>
      <c r="N128" s="39" t="str">
        <f t="shared" si="7"/>
        <v>OK</v>
      </c>
      <c r="O128" t="s">
        <v>697</v>
      </c>
    </row>
    <row r="129" spans="3:15" x14ac:dyDescent="0.25">
      <c r="C129" s="1">
        <v>42937</v>
      </c>
      <c r="D129" s="5" t="s">
        <v>2</v>
      </c>
      <c r="E129" s="3">
        <v>10255939</v>
      </c>
      <c r="F129" s="4">
        <v>3850</v>
      </c>
      <c r="G129" t="s">
        <v>182</v>
      </c>
      <c r="I129" t="s">
        <v>1542</v>
      </c>
      <c r="J129" s="2" t="s">
        <v>183</v>
      </c>
      <c r="K129" s="39" t="str">
        <f t="shared" si="4"/>
        <v>SDC119453;RENEWAL</v>
      </c>
      <c r="L129" s="39" t="str">
        <f t="shared" si="5"/>
        <v>OK</v>
      </c>
      <c r="M129" s="39" t="str">
        <f t="shared" si="6"/>
        <v>ERROR</v>
      </c>
      <c r="N129" s="39" t="str">
        <f t="shared" si="7"/>
        <v>OK</v>
      </c>
      <c r="O129" t="s">
        <v>697</v>
      </c>
    </row>
    <row r="130" spans="3:15" x14ac:dyDescent="0.25">
      <c r="C130" s="1">
        <v>42937</v>
      </c>
      <c r="D130" s="5" t="s">
        <v>2</v>
      </c>
      <c r="E130" s="3">
        <v>10255966</v>
      </c>
      <c r="F130" s="4">
        <v>5000</v>
      </c>
      <c r="G130" t="s">
        <v>184</v>
      </c>
      <c r="I130" t="s">
        <v>1543</v>
      </c>
      <c r="J130" s="2" t="s">
        <v>185</v>
      </c>
      <c r="K130" s="39" t="str">
        <f t="shared" si="4"/>
        <v>SDC114216;RENEWAL</v>
      </c>
      <c r="L130" s="39" t="str">
        <f t="shared" si="5"/>
        <v>OK</v>
      </c>
      <c r="M130" s="39" t="str">
        <f t="shared" si="6"/>
        <v>ERROR</v>
      </c>
      <c r="N130" s="39" t="str">
        <f t="shared" si="7"/>
        <v>OK</v>
      </c>
      <c r="O130" t="s">
        <v>697</v>
      </c>
    </row>
    <row r="131" spans="3:15" x14ac:dyDescent="0.25">
      <c r="C131" s="1">
        <v>42937</v>
      </c>
      <c r="D131" s="5" t="s">
        <v>2</v>
      </c>
      <c r="E131" s="3">
        <v>10255973</v>
      </c>
      <c r="F131" s="4">
        <v>6604</v>
      </c>
      <c r="G131" t="s">
        <v>186</v>
      </c>
      <c r="I131" t="s">
        <v>1545</v>
      </c>
      <c r="J131" s="2">
        <v>10255973</v>
      </c>
      <c r="K131" s="39" t="str">
        <f t="shared" ref="K131:K194" si="8">SUBSTITUTE(TRIM(MID(H131,7,4)&amp;G131&amp;";RENEWAL")," ","")</f>
        <v>DC143499;RENEWAL</v>
      </c>
      <c r="L131" s="39" t="str">
        <f t="shared" ref="L131:L194" si="9">IF(ISERROR(SUBSTITUTE(SUBSTITUTE(K131,LEFT(K131,6),""),RIGHT(SUBSTITUTE(K131,LEFT(K131,6),""),10),"")*1)&amp;" ¦ "&amp;ISERROR(SUBSTITUTE(SUBSTITUTE(K131,LEFT(K131,7),""),RIGHT(SUBSTITUTE(K131,LEFT(K131,7),""),10),"")*1)="TRUE ¦ TRUE","ERROR","OK")</f>
        <v>ERROR</v>
      </c>
      <c r="M131" s="39" t="str">
        <f t="shared" ref="M131:M194" si="10">IF(ISERROR(LEFT(K131,3)*1)=TRUE,"ERROR","OK")</f>
        <v>ERROR</v>
      </c>
      <c r="N131" s="39" t="str">
        <f t="shared" ref="N131:N194" si="11">IF(RIGHT(K131,8)=";RENEWAL","OK","ERROR")</f>
        <v>OK</v>
      </c>
      <c r="O131" t="s">
        <v>697</v>
      </c>
    </row>
    <row r="132" spans="3:15" x14ac:dyDescent="0.25">
      <c r="C132" s="1">
        <v>42937</v>
      </c>
      <c r="D132" s="5" t="s">
        <v>2</v>
      </c>
      <c r="E132" s="3">
        <v>10256619</v>
      </c>
      <c r="F132" s="4">
        <v>4200</v>
      </c>
      <c r="G132" t="s">
        <v>187</v>
      </c>
      <c r="I132" t="s">
        <v>1546</v>
      </c>
      <c r="J132" s="2">
        <v>10256619</v>
      </c>
      <c r="K132" s="39" t="str">
        <f t="shared" si="8"/>
        <v>SDC192207;RENEWAL</v>
      </c>
      <c r="L132" s="39" t="str">
        <f t="shared" si="9"/>
        <v>OK</v>
      </c>
      <c r="M132" s="39" t="str">
        <f t="shared" si="10"/>
        <v>ERROR</v>
      </c>
      <c r="N132" s="39" t="str">
        <f t="shared" si="11"/>
        <v>OK</v>
      </c>
      <c r="O132" t="s">
        <v>697</v>
      </c>
    </row>
    <row r="133" spans="3:15" x14ac:dyDescent="0.25">
      <c r="C133" s="1">
        <v>42937</v>
      </c>
      <c r="D133" s="5" t="s">
        <v>2</v>
      </c>
      <c r="E133" s="3">
        <v>10257085</v>
      </c>
      <c r="F133" s="4">
        <v>10000</v>
      </c>
      <c r="G133" t="s">
        <v>188</v>
      </c>
      <c r="I133" t="s">
        <v>1547</v>
      </c>
      <c r="J133" s="2" t="s">
        <v>189</v>
      </c>
      <c r="K133" s="39" t="str">
        <f t="shared" si="8"/>
        <v>SDC113125;RENEWAL</v>
      </c>
      <c r="L133" s="39" t="str">
        <f t="shared" si="9"/>
        <v>OK</v>
      </c>
      <c r="M133" s="39" t="str">
        <f t="shared" si="10"/>
        <v>ERROR</v>
      </c>
      <c r="N133" s="39" t="str">
        <f t="shared" si="11"/>
        <v>OK</v>
      </c>
      <c r="O133" t="s">
        <v>697</v>
      </c>
    </row>
    <row r="134" spans="3:15" x14ac:dyDescent="0.25">
      <c r="C134" s="1">
        <v>42937</v>
      </c>
      <c r="D134" s="5" t="s">
        <v>136</v>
      </c>
      <c r="E134" s="3">
        <v>10257106</v>
      </c>
      <c r="F134" s="4">
        <v>3000</v>
      </c>
      <c r="G134" t="s">
        <v>190</v>
      </c>
      <c r="I134" t="s">
        <v>1548</v>
      </c>
      <c r="J134" s="2" t="s">
        <v>191</v>
      </c>
      <c r="K134" s="39" t="str">
        <f t="shared" si="8"/>
        <v>SDC133117;RENEWAL</v>
      </c>
      <c r="L134" s="39" t="str">
        <f t="shared" si="9"/>
        <v>OK</v>
      </c>
      <c r="M134" s="39" t="str">
        <f t="shared" si="10"/>
        <v>ERROR</v>
      </c>
      <c r="N134" s="39" t="str">
        <f t="shared" si="11"/>
        <v>OK</v>
      </c>
      <c r="O134" t="s">
        <v>701</v>
      </c>
    </row>
    <row r="135" spans="3:15" x14ac:dyDescent="0.25">
      <c r="C135" s="1">
        <v>42937</v>
      </c>
      <c r="D135" s="5" t="s">
        <v>2</v>
      </c>
      <c r="E135" s="3">
        <v>10257728</v>
      </c>
      <c r="F135" s="4">
        <v>5260</v>
      </c>
      <c r="G135" t="s">
        <v>192</v>
      </c>
      <c r="I135" t="s">
        <v>1549</v>
      </c>
      <c r="J135" s="2" t="s">
        <v>193</v>
      </c>
      <c r="K135" s="39" t="str">
        <f t="shared" si="8"/>
        <v>SDC108947;RENEWAL</v>
      </c>
      <c r="L135" s="39" t="str">
        <f t="shared" si="9"/>
        <v>OK</v>
      </c>
      <c r="M135" s="39" t="str">
        <f t="shared" si="10"/>
        <v>ERROR</v>
      </c>
      <c r="N135" s="39" t="str">
        <f t="shared" si="11"/>
        <v>OK</v>
      </c>
      <c r="O135" t="s">
        <v>697</v>
      </c>
    </row>
    <row r="136" spans="3:15" x14ac:dyDescent="0.25">
      <c r="C136" s="1">
        <v>42937</v>
      </c>
      <c r="D136" s="5" t="s">
        <v>136</v>
      </c>
      <c r="E136" s="3">
        <v>10258611</v>
      </c>
      <c r="F136" s="4">
        <v>3000</v>
      </c>
      <c r="G136" t="s">
        <v>194</v>
      </c>
      <c r="I136" t="s">
        <v>1550</v>
      </c>
      <c r="J136" s="2" t="s">
        <v>195</v>
      </c>
      <c r="K136" s="39" t="str">
        <f t="shared" si="8"/>
        <v>SDC133716;RENEWAL</v>
      </c>
      <c r="L136" s="39" t="str">
        <f t="shared" si="9"/>
        <v>OK</v>
      </c>
      <c r="M136" s="39" t="str">
        <f t="shared" si="10"/>
        <v>ERROR</v>
      </c>
      <c r="N136" s="39" t="str">
        <f t="shared" si="11"/>
        <v>OK</v>
      </c>
      <c r="O136" t="s">
        <v>701</v>
      </c>
    </row>
    <row r="137" spans="3:15" x14ac:dyDescent="0.25">
      <c r="C137" s="1">
        <v>42937</v>
      </c>
      <c r="D137" s="5" t="s">
        <v>2</v>
      </c>
      <c r="E137" s="3">
        <v>10258968</v>
      </c>
      <c r="F137" s="4">
        <v>10679</v>
      </c>
      <c r="G137" t="s">
        <v>196</v>
      </c>
      <c r="I137" t="s">
        <v>1551</v>
      </c>
      <c r="J137" s="2" t="s">
        <v>197</v>
      </c>
      <c r="K137" s="39" t="str">
        <f t="shared" si="8"/>
        <v>SDC105896;RENEWAL</v>
      </c>
      <c r="L137" s="39" t="str">
        <f t="shared" si="9"/>
        <v>OK</v>
      </c>
      <c r="M137" s="39" t="str">
        <f t="shared" si="10"/>
        <v>ERROR</v>
      </c>
      <c r="N137" s="39" t="str">
        <f t="shared" si="11"/>
        <v>OK</v>
      </c>
      <c r="O137" t="s">
        <v>697</v>
      </c>
    </row>
    <row r="138" spans="3:15" x14ac:dyDescent="0.25">
      <c r="C138" s="1">
        <v>42937</v>
      </c>
      <c r="D138" s="5" t="s">
        <v>136</v>
      </c>
      <c r="E138" s="3">
        <v>10260578</v>
      </c>
      <c r="F138" s="4">
        <v>3000</v>
      </c>
      <c r="G138" t="s">
        <v>198</v>
      </c>
      <c r="I138" t="s">
        <v>1552</v>
      </c>
      <c r="J138" s="2" t="s">
        <v>199</v>
      </c>
      <c r="K138" s="39" t="str">
        <f t="shared" si="8"/>
        <v>SDC134469;RENEWAL</v>
      </c>
      <c r="L138" s="39" t="str">
        <f t="shared" si="9"/>
        <v>OK</v>
      </c>
      <c r="M138" s="39" t="str">
        <f t="shared" si="10"/>
        <v>ERROR</v>
      </c>
      <c r="N138" s="39" t="str">
        <f t="shared" si="11"/>
        <v>OK</v>
      </c>
      <c r="O138" t="s">
        <v>701</v>
      </c>
    </row>
    <row r="139" spans="3:15" x14ac:dyDescent="0.25">
      <c r="C139" s="1">
        <v>42937</v>
      </c>
      <c r="D139" s="5" t="s">
        <v>136</v>
      </c>
      <c r="E139" s="3">
        <v>10260801</v>
      </c>
      <c r="F139" s="4">
        <v>3000</v>
      </c>
      <c r="G139" t="s">
        <v>200</v>
      </c>
      <c r="I139" t="s">
        <v>1553</v>
      </c>
      <c r="J139" s="2" t="s">
        <v>201</v>
      </c>
      <c r="K139" s="39" t="str">
        <f t="shared" si="8"/>
        <v>SDC134204;RENEWAL</v>
      </c>
      <c r="L139" s="39" t="str">
        <f t="shared" si="9"/>
        <v>OK</v>
      </c>
      <c r="M139" s="39" t="str">
        <f t="shared" si="10"/>
        <v>ERROR</v>
      </c>
      <c r="N139" s="39" t="str">
        <f t="shared" si="11"/>
        <v>OK</v>
      </c>
      <c r="O139" t="s">
        <v>701</v>
      </c>
    </row>
    <row r="140" spans="3:15" x14ac:dyDescent="0.25">
      <c r="C140" s="1">
        <v>42937</v>
      </c>
      <c r="D140" s="5" t="s">
        <v>136</v>
      </c>
      <c r="E140" s="3">
        <v>10261202</v>
      </c>
      <c r="F140" s="4">
        <v>3000</v>
      </c>
      <c r="G140" t="s">
        <v>202</v>
      </c>
      <c r="I140" t="s">
        <v>1554</v>
      </c>
      <c r="J140" s="2" t="s">
        <v>203</v>
      </c>
      <c r="K140" s="39" t="str">
        <f t="shared" si="8"/>
        <v>SDC134384;RENEWAL</v>
      </c>
      <c r="L140" s="39" t="str">
        <f t="shared" si="9"/>
        <v>OK</v>
      </c>
      <c r="M140" s="39" t="str">
        <f t="shared" si="10"/>
        <v>ERROR</v>
      </c>
      <c r="N140" s="39" t="str">
        <f t="shared" si="11"/>
        <v>OK</v>
      </c>
      <c r="O140" t="s">
        <v>701</v>
      </c>
    </row>
    <row r="141" spans="3:15" x14ac:dyDescent="0.25">
      <c r="C141" s="1">
        <v>42937</v>
      </c>
      <c r="D141" s="5" t="s">
        <v>136</v>
      </c>
      <c r="E141" s="3">
        <v>10261218</v>
      </c>
      <c r="F141" s="4">
        <v>3000</v>
      </c>
      <c r="G141" t="s">
        <v>204</v>
      </c>
      <c r="I141" t="s">
        <v>1556</v>
      </c>
      <c r="J141" s="2" t="s">
        <v>205</v>
      </c>
      <c r="K141" s="39" t="str">
        <f t="shared" si="8"/>
        <v>SDC134067;RENEWAL</v>
      </c>
      <c r="L141" s="39" t="str">
        <f t="shared" si="9"/>
        <v>OK</v>
      </c>
      <c r="M141" s="39" t="str">
        <f t="shared" si="10"/>
        <v>ERROR</v>
      </c>
      <c r="N141" s="39" t="str">
        <f t="shared" si="11"/>
        <v>OK</v>
      </c>
      <c r="O141" t="s">
        <v>701</v>
      </c>
    </row>
    <row r="142" spans="3:15" x14ac:dyDescent="0.25">
      <c r="C142" s="1">
        <v>42937</v>
      </c>
      <c r="D142" s="5" t="s">
        <v>2</v>
      </c>
      <c r="E142" s="3">
        <v>10262539</v>
      </c>
      <c r="F142" s="4">
        <v>2700</v>
      </c>
      <c r="G142" t="s">
        <v>206</v>
      </c>
      <c r="I142" t="s">
        <v>1557</v>
      </c>
      <c r="J142" s="2">
        <v>10262539</v>
      </c>
      <c r="K142" s="39" t="str">
        <f t="shared" si="8"/>
        <v>SDC196818;RENEWAL</v>
      </c>
      <c r="L142" s="39" t="str">
        <f t="shared" si="9"/>
        <v>OK</v>
      </c>
      <c r="M142" s="39" t="str">
        <f t="shared" si="10"/>
        <v>ERROR</v>
      </c>
      <c r="N142" s="39" t="str">
        <f t="shared" si="11"/>
        <v>OK</v>
      </c>
      <c r="O142" t="s">
        <v>697</v>
      </c>
    </row>
    <row r="143" spans="3:15" x14ac:dyDescent="0.25">
      <c r="C143" s="1">
        <v>42937</v>
      </c>
      <c r="D143" s="5" t="s">
        <v>2</v>
      </c>
      <c r="E143" s="3">
        <v>10262717</v>
      </c>
      <c r="F143" s="4">
        <v>2144</v>
      </c>
      <c r="G143" t="s">
        <v>207</v>
      </c>
      <c r="I143" t="s">
        <v>1558</v>
      </c>
      <c r="J143" s="2" t="s">
        <v>208</v>
      </c>
      <c r="K143" s="39" t="str">
        <f t="shared" si="8"/>
        <v>SDC128219;RENEWAL</v>
      </c>
      <c r="L143" s="39" t="str">
        <f t="shared" si="9"/>
        <v>OK</v>
      </c>
      <c r="M143" s="39" t="str">
        <f t="shared" si="10"/>
        <v>ERROR</v>
      </c>
      <c r="N143" s="39" t="str">
        <f t="shared" si="11"/>
        <v>OK</v>
      </c>
      <c r="O143" t="s">
        <v>697</v>
      </c>
    </row>
    <row r="144" spans="3:15" x14ac:dyDescent="0.25">
      <c r="C144" s="1">
        <v>42937</v>
      </c>
      <c r="D144" s="5" t="s">
        <v>136</v>
      </c>
      <c r="E144" s="3">
        <v>10267645</v>
      </c>
      <c r="F144" s="4">
        <v>3000</v>
      </c>
      <c r="G144" t="s">
        <v>209</v>
      </c>
      <c r="I144" t="s">
        <v>1559</v>
      </c>
      <c r="J144" s="2" t="s">
        <v>210</v>
      </c>
      <c r="K144" s="39" t="str">
        <f t="shared" si="8"/>
        <v>SDC135141;RENEWAL</v>
      </c>
      <c r="L144" s="39" t="str">
        <f t="shared" si="9"/>
        <v>OK</v>
      </c>
      <c r="M144" s="39" t="str">
        <f t="shared" si="10"/>
        <v>ERROR</v>
      </c>
      <c r="N144" s="39" t="str">
        <f t="shared" si="11"/>
        <v>OK</v>
      </c>
      <c r="O144" t="s">
        <v>701</v>
      </c>
    </row>
    <row r="145" spans="3:15" x14ac:dyDescent="0.25">
      <c r="C145" s="1">
        <v>42937</v>
      </c>
      <c r="D145" s="5" t="s">
        <v>136</v>
      </c>
      <c r="E145" s="3">
        <v>10267764</v>
      </c>
      <c r="F145" s="4">
        <v>3000</v>
      </c>
      <c r="G145" t="s">
        <v>211</v>
      </c>
      <c r="I145" t="s">
        <v>1560</v>
      </c>
      <c r="J145" s="2" t="s">
        <v>212</v>
      </c>
      <c r="K145" s="39" t="str">
        <f t="shared" si="8"/>
        <v>SDC135470;RENEWAL</v>
      </c>
      <c r="L145" s="39" t="str">
        <f t="shared" si="9"/>
        <v>OK</v>
      </c>
      <c r="M145" s="39" t="str">
        <f t="shared" si="10"/>
        <v>ERROR</v>
      </c>
      <c r="N145" s="39" t="str">
        <f t="shared" si="11"/>
        <v>OK</v>
      </c>
      <c r="O145" t="s">
        <v>701</v>
      </c>
    </row>
    <row r="146" spans="3:15" x14ac:dyDescent="0.25">
      <c r="C146" s="1">
        <v>42937</v>
      </c>
      <c r="D146" s="5" t="s">
        <v>136</v>
      </c>
      <c r="E146" s="3">
        <v>10267861</v>
      </c>
      <c r="F146" s="4">
        <v>3000</v>
      </c>
      <c r="G146" t="s">
        <v>213</v>
      </c>
      <c r="I146" t="s">
        <v>1561</v>
      </c>
      <c r="J146" s="2" t="s">
        <v>214</v>
      </c>
      <c r="K146" s="39" t="str">
        <f t="shared" si="8"/>
        <v>SDC135745;RENEWAL</v>
      </c>
      <c r="L146" s="39" t="str">
        <f t="shared" si="9"/>
        <v>OK</v>
      </c>
      <c r="M146" s="39" t="str">
        <f t="shared" si="10"/>
        <v>ERROR</v>
      </c>
      <c r="N146" s="39" t="str">
        <f t="shared" si="11"/>
        <v>OK</v>
      </c>
      <c r="O146" t="s">
        <v>701</v>
      </c>
    </row>
    <row r="147" spans="3:15" x14ac:dyDescent="0.25">
      <c r="C147" s="1">
        <v>42937</v>
      </c>
      <c r="D147" s="5" t="s">
        <v>136</v>
      </c>
      <c r="E147" s="3">
        <v>10268030</v>
      </c>
      <c r="F147" s="4">
        <v>3000</v>
      </c>
      <c r="G147" t="s">
        <v>215</v>
      </c>
      <c r="I147" t="s">
        <v>1562</v>
      </c>
      <c r="J147" s="2" t="s">
        <v>216</v>
      </c>
      <c r="K147" s="39" t="str">
        <f t="shared" si="8"/>
        <v>SDC135841;RENEWAL</v>
      </c>
      <c r="L147" s="39" t="str">
        <f t="shared" si="9"/>
        <v>OK</v>
      </c>
      <c r="M147" s="39" t="str">
        <f t="shared" si="10"/>
        <v>ERROR</v>
      </c>
      <c r="N147" s="39" t="str">
        <f t="shared" si="11"/>
        <v>OK</v>
      </c>
      <c r="O147" t="s">
        <v>701</v>
      </c>
    </row>
    <row r="148" spans="3:15" x14ac:dyDescent="0.25">
      <c r="C148" s="1">
        <v>42937</v>
      </c>
      <c r="D148" s="5" t="s">
        <v>2</v>
      </c>
      <c r="E148" s="3">
        <v>10268164</v>
      </c>
      <c r="F148" s="4">
        <v>64814</v>
      </c>
      <c r="G148" t="s">
        <v>217</v>
      </c>
      <c r="I148" t="s">
        <v>1563</v>
      </c>
      <c r="J148" s="2" t="s">
        <v>218</v>
      </c>
      <c r="K148" s="39" t="str">
        <f t="shared" si="8"/>
        <v>SDC133594;RENEWAL</v>
      </c>
      <c r="L148" s="39" t="str">
        <f t="shared" si="9"/>
        <v>OK</v>
      </c>
      <c r="M148" s="39" t="str">
        <f t="shared" si="10"/>
        <v>ERROR</v>
      </c>
      <c r="N148" s="39" t="str">
        <f t="shared" si="11"/>
        <v>OK</v>
      </c>
      <c r="O148" t="s">
        <v>697</v>
      </c>
    </row>
    <row r="149" spans="3:15" x14ac:dyDescent="0.25">
      <c r="C149" s="1">
        <v>42937</v>
      </c>
      <c r="D149" s="5" t="s">
        <v>136</v>
      </c>
      <c r="E149" s="3">
        <v>10268252</v>
      </c>
      <c r="F149" s="4">
        <v>3000</v>
      </c>
      <c r="G149" t="s">
        <v>219</v>
      </c>
      <c r="I149" t="s">
        <v>1564</v>
      </c>
      <c r="J149" s="2" t="s">
        <v>220</v>
      </c>
      <c r="K149" s="39" t="str">
        <f t="shared" si="8"/>
        <v>SDC135652;RENEWAL</v>
      </c>
      <c r="L149" s="39" t="str">
        <f t="shared" si="9"/>
        <v>OK</v>
      </c>
      <c r="M149" s="39" t="str">
        <f t="shared" si="10"/>
        <v>ERROR</v>
      </c>
      <c r="N149" s="39" t="str">
        <f t="shared" si="11"/>
        <v>OK</v>
      </c>
      <c r="O149" t="s">
        <v>701</v>
      </c>
    </row>
    <row r="150" spans="3:15" x14ac:dyDescent="0.25">
      <c r="C150" s="1">
        <v>42937</v>
      </c>
      <c r="D150" s="5" t="s">
        <v>136</v>
      </c>
      <c r="E150" s="3">
        <v>10268254</v>
      </c>
      <c r="F150" s="4">
        <v>3000</v>
      </c>
      <c r="G150" t="s">
        <v>221</v>
      </c>
      <c r="I150" t="s">
        <v>1565</v>
      </c>
      <c r="J150" s="2" t="s">
        <v>222</v>
      </c>
      <c r="K150" s="39" t="str">
        <f t="shared" si="8"/>
        <v>SDC135690;RENEWAL</v>
      </c>
      <c r="L150" s="39" t="str">
        <f t="shared" si="9"/>
        <v>OK</v>
      </c>
      <c r="M150" s="39" t="str">
        <f t="shared" si="10"/>
        <v>ERROR</v>
      </c>
      <c r="N150" s="39" t="str">
        <f t="shared" si="11"/>
        <v>OK</v>
      </c>
      <c r="O150" t="s">
        <v>701</v>
      </c>
    </row>
    <row r="151" spans="3:15" x14ac:dyDescent="0.25">
      <c r="C151" s="1">
        <v>42937</v>
      </c>
      <c r="D151" s="5" t="s">
        <v>136</v>
      </c>
      <c r="E151" s="3">
        <v>10268356</v>
      </c>
      <c r="F151" s="4">
        <v>3000</v>
      </c>
      <c r="G151" t="s">
        <v>223</v>
      </c>
      <c r="I151" t="s">
        <v>1567</v>
      </c>
      <c r="J151" s="2" t="s">
        <v>224</v>
      </c>
      <c r="K151" s="39" t="str">
        <f t="shared" si="8"/>
        <v>SDC135628;RENEWAL</v>
      </c>
      <c r="L151" s="39" t="str">
        <f t="shared" si="9"/>
        <v>OK</v>
      </c>
      <c r="M151" s="39" t="str">
        <f t="shared" si="10"/>
        <v>ERROR</v>
      </c>
      <c r="N151" s="39" t="str">
        <f t="shared" si="11"/>
        <v>OK</v>
      </c>
      <c r="O151" t="s">
        <v>701</v>
      </c>
    </row>
    <row r="152" spans="3:15" x14ac:dyDescent="0.25">
      <c r="C152" s="1">
        <v>42937</v>
      </c>
      <c r="D152" s="5" t="s">
        <v>136</v>
      </c>
      <c r="E152" s="3">
        <v>10269152</v>
      </c>
      <c r="F152" s="4">
        <v>3000</v>
      </c>
      <c r="G152" t="s">
        <v>225</v>
      </c>
      <c r="I152" t="s">
        <v>1568</v>
      </c>
      <c r="J152" s="2" t="s">
        <v>226</v>
      </c>
      <c r="K152" s="39" t="str">
        <f t="shared" si="8"/>
        <v>SDC135089;RENEWAL</v>
      </c>
      <c r="L152" s="39" t="str">
        <f t="shared" si="9"/>
        <v>OK</v>
      </c>
      <c r="M152" s="39" t="str">
        <f t="shared" si="10"/>
        <v>ERROR</v>
      </c>
      <c r="N152" s="39" t="str">
        <f t="shared" si="11"/>
        <v>OK</v>
      </c>
      <c r="O152" t="s">
        <v>701</v>
      </c>
    </row>
    <row r="153" spans="3:15" x14ac:dyDescent="0.25">
      <c r="C153" s="1">
        <v>42937</v>
      </c>
      <c r="D153" s="5" t="s">
        <v>136</v>
      </c>
      <c r="E153" s="3">
        <v>10269297</v>
      </c>
      <c r="F153" s="4">
        <v>3000</v>
      </c>
      <c r="G153" t="s">
        <v>227</v>
      </c>
      <c r="I153" t="s">
        <v>1569</v>
      </c>
      <c r="J153" s="2" t="s">
        <v>228</v>
      </c>
      <c r="K153" s="39" t="str">
        <f t="shared" si="8"/>
        <v>SDC134852;RENEWAL</v>
      </c>
      <c r="L153" s="39" t="str">
        <f t="shared" si="9"/>
        <v>OK</v>
      </c>
      <c r="M153" s="39" t="str">
        <f t="shared" si="10"/>
        <v>ERROR</v>
      </c>
      <c r="N153" s="39" t="str">
        <f t="shared" si="11"/>
        <v>OK</v>
      </c>
      <c r="O153" t="s">
        <v>701</v>
      </c>
    </row>
    <row r="154" spans="3:15" x14ac:dyDescent="0.25">
      <c r="C154" s="1">
        <v>42937</v>
      </c>
      <c r="D154" s="5" t="s">
        <v>136</v>
      </c>
      <c r="E154" s="3">
        <v>10269314</v>
      </c>
      <c r="F154" s="4">
        <v>3000</v>
      </c>
      <c r="G154" t="s">
        <v>229</v>
      </c>
      <c r="I154" t="s">
        <v>1570</v>
      </c>
      <c r="J154" s="2" t="s">
        <v>230</v>
      </c>
      <c r="K154" s="39" t="str">
        <f t="shared" si="8"/>
        <v>SDC134929;RENEWAL</v>
      </c>
      <c r="L154" s="39" t="str">
        <f t="shared" si="9"/>
        <v>OK</v>
      </c>
      <c r="M154" s="39" t="str">
        <f t="shared" si="10"/>
        <v>ERROR</v>
      </c>
      <c r="N154" s="39" t="str">
        <f t="shared" si="11"/>
        <v>OK</v>
      </c>
      <c r="O154" t="s">
        <v>701</v>
      </c>
    </row>
    <row r="155" spans="3:15" x14ac:dyDescent="0.25">
      <c r="C155" s="1">
        <v>42937</v>
      </c>
      <c r="D155" s="5" t="s">
        <v>2</v>
      </c>
      <c r="E155" s="3">
        <v>10270805</v>
      </c>
      <c r="F155" s="4">
        <v>10000</v>
      </c>
      <c r="G155" t="s">
        <v>231</v>
      </c>
      <c r="I155" t="s">
        <v>1571</v>
      </c>
      <c r="J155" s="2" t="s">
        <v>232</v>
      </c>
      <c r="K155" s="39" t="str">
        <f t="shared" si="8"/>
        <v>SDC124104;RENEWAL</v>
      </c>
      <c r="L155" s="39" t="str">
        <f t="shared" si="9"/>
        <v>OK</v>
      </c>
      <c r="M155" s="39" t="str">
        <f t="shared" si="10"/>
        <v>ERROR</v>
      </c>
      <c r="N155" s="39" t="str">
        <f t="shared" si="11"/>
        <v>OK</v>
      </c>
      <c r="O155" t="s">
        <v>697</v>
      </c>
    </row>
    <row r="156" spans="3:15" x14ac:dyDescent="0.25">
      <c r="C156" s="1">
        <v>42937</v>
      </c>
      <c r="D156" s="5" t="s">
        <v>2</v>
      </c>
      <c r="E156" s="3">
        <v>10271121</v>
      </c>
      <c r="F156" s="4">
        <v>3120</v>
      </c>
      <c r="G156" t="s">
        <v>233</v>
      </c>
      <c r="I156" t="s">
        <v>1572</v>
      </c>
      <c r="J156" s="2">
        <v>10271121</v>
      </c>
      <c r="K156" s="39" t="str">
        <f t="shared" si="8"/>
        <v>SDC206962;RENEWAL</v>
      </c>
      <c r="L156" s="39" t="str">
        <f t="shared" si="9"/>
        <v>OK</v>
      </c>
      <c r="M156" s="39" t="str">
        <f t="shared" si="10"/>
        <v>ERROR</v>
      </c>
      <c r="N156" s="39" t="str">
        <f t="shared" si="11"/>
        <v>OK</v>
      </c>
      <c r="O156" t="s">
        <v>697</v>
      </c>
    </row>
    <row r="157" spans="3:15" x14ac:dyDescent="0.25">
      <c r="C157" s="1">
        <v>42937</v>
      </c>
      <c r="D157" s="5" t="s">
        <v>2</v>
      </c>
      <c r="E157" s="3">
        <v>10272269</v>
      </c>
      <c r="F157" s="4">
        <v>12000</v>
      </c>
      <c r="G157" t="s">
        <v>234</v>
      </c>
      <c r="I157" t="s">
        <v>1573</v>
      </c>
      <c r="J157" s="2" t="s">
        <v>235</v>
      </c>
      <c r="K157" s="39" t="str">
        <f t="shared" si="8"/>
        <v>SDC133209;RENEWAL</v>
      </c>
      <c r="L157" s="39" t="str">
        <f t="shared" si="9"/>
        <v>OK</v>
      </c>
      <c r="M157" s="39" t="str">
        <f t="shared" si="10"/>
        <v>ERROR</v>
      </c>
      <c r="N157" s="39" t="str">
        <f t="shared" si="11"/>
        <v>OK</v>
      </c>
      <c r="O157" t="s">
        <v>697</v>
      </c>
    </row>
    <row r="158" spans="3:15" x14ac:dyDescent="0.25">
      <c r="C158" s="1">
        <v>42937</v>
      </c>
      <c r="D158" s="5" t="s">
        <v>2</v>
      </c>
      <c r="E158" s="3">
        <v>10272794</v>
      </c>
      <c r="F158" s="4">
        <v>3606</v>
      </c>
      <c r="G158" t="s">
        <v>236</v>
      </c>
      <c r="I158" t="s">
        <v>1574</v>
      </c>
      <c r="J158" s="2" t="s">
        <v>237</v>
      </c>
      <c r="K158" s="39" t="str">
        <f t="shared" si="8"/>
        <v>SDC127827;RENEWAL</v>
      </c>
      <c r="L158" s="39" t="str">
        <f t="shared" si="9"/>
        <v>OK</v>
      </c>
      <c r="M158" s="39" t="str">
        <f t="shared" si="10"/>
        <v>ERROR</v>
      </c>
      <c r="N158" s="39" t="str">
        <f t="shared" si="11"/>
        <v>OK</v>
      </c>
      <c r="O158" t="s">
        <v>697</v>
      </c>
    </row>
    <row r="159" spans="3:15" x14ac:dyDescent="0.25">
      <c r="C159" s="1">
        <v>42937</v>
      </c>
      <c r="D159" s="5" t="s">
        <v>2</v>
      </c>
      <c r="E159" s="3">
        <v>10272862</v>
      </c>
      <c r="F159" s="4">
        <v>3147</v>
      </c>
      <c r="G159" t="s">
        <v>238</v>
      </c>
      <c r="I159" t="s">
        <v>1575</v>
      </c>
      <c r="J159" s="2" t="s">
        <v>239</v>
      </c>
      <c r="K159" s="39" t="str">
        <f t="shared" si="8"/>
        <v>SDC135796;RENEWAL</v>
      </c>
      <c r="L159" s="39" t="str">
        <f t="shared" si="9"/>
        <v>OK</v>
      </c>
      <c r="M159" s="39" t="str">
        <f t="shared" si="10"/>
        <v>ERROR</v>
      </c>
      <c r="N159" s="39" t="str">
        <f t="shared" si="11"/>
        <v>OK</v>
      </c>
      <c r="O159" t="s">
        <v>697</v>
      </c>
    </row>
    <row r="160" spans="3:15" x14ac:dyDescent="0.25">
      <c r="C160" s="1">
        <v>42937</v>
      </c>
      <c r="D160" s="5" t="s">
        <v>2</v>
      </c>
      <c r="E160" s="3">
        <v>10273784</v>
      </c>
      <c r="F160" s="4">
        <v>3080</v>
      </c>
      <c r="G160" t="s">
        <v>240</v>
      </c>
      <c r="I160" t="s">
        <v>1576</v>
      </c>
      <c r="J160" s="2">
        <v>10273784</v>
      </c>
      <c r="K160" s="39" t="str">
        <f t="shared" si="8"/>
        <v>SDC200584;RENEWAL</v>
      </c>
      <c r="L160" s="39" t="str">
        <f t="shared" si="9"/>
        <v>OK</v>
      </c>
      <c r="M160" s="39" t="str">
        <f t="shared" si="10"/>
        <v>ERROR</v>
      </c>
      <c r="N160" s="39" t="str">
        <f t="shared" si="11"/>
        <v>OK</v>
      </c>
      <c r="O160" t="s">
        <v>697</v>
      </c>
    </row>
    <row r="161" spans="3:15" x14ac:dyDescent="0.25">
      <c r="C161" s="1">
        <v>42937</v>
      </c>
      <c r="D161" s="5" t="s">
        <v>2</v>
      </c>
      <c r="E161" s="3">
        <v>10274852</v>
      </c>
      <c r="F161" s="4">
        <v>5106</v>
      </c>
      <c r="G161" t="s">
        <v>241</v>
      </c>
      <c r="I161" t="s">
        <v>1578</v>
      </c>
      <c r="J161" s="2">
        <v>10274852</v>
      </c>
      <c r="K161" s="39" t="str">
        <f t="shared" si="8"/>
        <v>SDC169245;RENEWAL</v>
      </c>
      <c r="L161" s="39" t="str">
        <f t="shared" si="9"/>
        <v>OK</v>
      </c>
      <c r="M161" s="39" t="str">
        <f t="shared" si="10"/>
        <v>ERROR</v>
      </c>
      <c r="N161" s="39" t="str">
        <f t="shared" si="11"/>
        <v>OK</v>
      </c>
      <c r="O161" t="s">
        <v>697</v>
      </c>
    </row>
    <row r="162" spans="3:15" x14ac:dyDescent="0.25">
      <c r="C162" s="1">
        <v>42937</v>
      </c>
      <c r="D162" s="5" t="s">
        <v>136</v>
      </c>
      <c r="E162" s="3">
        <v>10277419</v>
      </c>
      <c r="F162" s="4">
        <v>3000</v>
      </c>
      <c r="G162" t="s">
        <v>242</v>
      </c>
      <c r="I162" t="s">
        <v>1579</v>
      </c>
      <c r="J162" s="2" t="s">
        <v>243</v>
      </c>
      <c r="K162" s="39" t="str">
        <f t="shared" si="8"/>
        <v>SDC136055;RENEWAL</v>
      </c>
      <c r="L162" s="39" t="str">
        <f t="shared" si="9"/>
        <v>OK</v>
      </c>
      <c r="M162" s="39" t="str">
        <f t="shared" si="10"/>
        <v>ERROR</v>
      </c>
      <c r="N162" s="39" t="str">
        <f t="shared" si="11"/>
        <v>OK</v>
      </c>
      <c r="O162" t="s">
        <v>701</v>
      </c>
    </row>
    <row r="163" spans="3:15" x14ac:dyDescent="0.25">
      <c r="C163" s="1">
        <v>42937</v>
      </c>
      <c r="D163" s="5" t="s">
        <v>2</v>
      </c>
      <c r="E163" s="3">
        <v>10278629</v>
      </c>
      <c r="F163" s="4">
        <v>5462</v>
      </c>
      <c r="G163" t="s">
        <v>244</v>
      </c>
      <c r="I163" t="s">
        <v>1580</v>
      </c>
      <c r="J163" s="2" t="s">
        <v>245</v>
      </c>
      <c r="K163" s="39" t="str">
        <f t="shared" si="8"/>
        <v>SDC133300;RENEWAL</v>
      </c>
      <c r="L163" s="39" t="str">
        <f t="shared" si="9"/>
        <v>OK</v>
      </c>
      <c r="M163" s="39" t="str">
        <f t="shared" si="10"/>
        <v>ERROR</v>
      </c>
      <c r="N163" s="39" t="str">
        <f t="shared" si="11"/>
        <v>OK</v>
      </c>
      <c r="O163" t="s">
        <v>697</v>
      </c>
    </row>
    <row r="164" spans="3:15" x14ac:dyDescent="0.25">
      <c r="C164" s="1">
        <v>42937</v>
      </c>
      <c r="D164" s="5" t="s">
        <v>2</v>
      </c>
      <c r="E164" s="3">
        <v>10280318</v>
      </c>
      <c r="F164" s="4">
        <v>2360</v>
      </c>
      <c r="G164" t="s">
        <v>246</v>
      </c>
      <c r="I164" t="s">
        <v>1581</v>
      </c>
      <c r="J164" s="2">
        <v>10280318</v>
      </c>
      <c r="K164" s="39" t="str">
        <f t="shared" si="8"/>
        <v>SDC199143;RENEWAL</v>
      </c>
      <c r="L164" s="39" t="str">
        <f t="shared" si="9"/>
        <v>OK</v>
      </c>
      <c r="M164" s="39" t="str">
        <f t="shared" si="10"/>
        <v>ERROR</v>
      </c>
      <c r="N164" s="39" t="str">
        <f t="shared" si="11"/>
        <v>OK</v>
      </c>
      <c r="O164" t="s">
        <v>697</v>
      </c>
    </row>
    <row r="165" spans="3:15" x14ac:dyDescent="0.25">
      <c r="C165" s="1">
        <v>42937</v>
      </c>
      <c r="D165" s="5" t="s">
        <v>2</v>
      </c>
      <c r="E165" s="3">
        <v>10281192</v>
      </c>
      <c r="F165" s="4">
        <v>3680</v>
      </c>
      <c r="G165" t="s">
        <v>247</v>
      </c>
      <c r="I165" t="s">
        <v>1582</v>
      </c>
      <c r="J165" s="2" t="s">
        <v>248</v>
      </c>
      <c r="K165" s="39" t="str">
        <f t="shared" si="8"/>
        <v>SDC185049;RENEWAL</v>
      </c>
      <c r="L165" s="39" t="str">
        <f t="shared" si="9"/>
        <v>OK</v>
      </c>
      <c r="M165" s="39" t="str">
        <f t="shared" si="10"/>
        <v>ERROR</v>
      </c>
      <c r="N165" s="39" t="str">
        <f t="shared" si="11"/>
        <v>OK</v>
      </c>
      <c r="O165" t="s">
        <v>697</v>
      </c>
    </row>
    <row r="166" spans="3:15" x14ac:dyDescent="0.25">
      <c r="C166" s="1">
        <v>42937</v>
      </c>
      <c r="D166" s="5" t="s">
        <v>2</v>
      </c>
      <c r="E166" s="3">
        <v>10284417</v>
      </c>
      <c r="F166" s="4">
        <v>3162</v>
      </c>
      <c r="G166" t="s">
        <v>249</v>
      </c>
      <c r="I166" t="s">
        <v>1583</v>
      </c>
      <c r="J166" s="2" t="s">
        <v>250</v>
      </c>
      <c r="K166" s="39" t="str">
        <f t="shared" si="8"/>
        <v>SDC115962;RENEWAL</v>
      </c>
      <c r="L166" s="39" t="str">
        <f t="shared" si="9"/>
        <v>OK</v>
      </c>
      <c r="M166" s="39" t="str">
        <f t="shared" si="10"/>
        <v>ERROR</v>
      </c>
      <c r="N166" s="39" t="str">
        <f t="shared" si="11"/>
        <v>OK</v>
      </c>
      <c r="O166" t="s">
        <v>697</v>
      </c>
    </row>
    <row r="167" spans="3:15" x14ac:dyDescent="0.25">
      <c r="C167" s="1">
        <v>42937</v>
      </c>
      <c r="D167" s="5" t="s">
        <v>2</v>
      </c>
      <c r="E167" s="3">
        <v>10290425</v>
      </c>
      <c r="F167" s="4">
        <v>5579</v>
      </c>
      <c r="G167" t="s">
        <v>251</v>
      </c>
      <c r="I167" t="s">
        <v>1584</v>
      </c>
      <c r="J167" s="2">
        <v>10290425</v>
      </c>
      <c r="K167" s="39" t="str">
        <f t="shared" si="8"/>
        <v>SDC162602;RENEWAL</v>
      </c>
      <c r="L167" s="39" t="str">
        <f t="shared" si="9"/>
        <v>OK</v>
      </c>
      <c r="M167" s="39" t="str">
        <f t="shared" si="10"/>
        <v>ERROR</v>
      </c>
      <c r="N167" s="39" t="str">
        <f t="shared" si="11"/>
        <v>OK</v>
      </c>
      <c r="O167" t="s">
        <v>697</v>
      </c>
    </row>
    <row r="168" spans="3:15" x14ac:dyDescent="0.25">
      <c r="C168" s="1">
        <v>42937</v>
      </c>
      <c r="D168" s="5" t="s">
        <v>2</v>
      </c>
      <c r="E168" s="3">
        <v>10290605</v>
      </c>
      <c r="F168" s="4">
        <v>2223</v>
      </c>
      <c r="G168" t="s">
        <v>252</v>
      </c>
      <c r="I168" t="s">
        <v>1585</v>
      </c>
      <c r="J168" s="2" t="s">
        <v>253</v>
      </c>
      <c r="K168" s="39" t="str">
        <f t="shared" si="8"/>
        <v>SDC112263;RENEWAL</v>
      </c>
      <c r="L168" s="39" t="str">
        <f t="shared" si="9"/>
        <v>OK</v>
      </c>
      <c r="M168" s="39" t="str">
        <f t="shared" si="10"/>
        <v>ERROR</v>
      </c>
      <c r="N168" s="39" t="str">
        <f t="shared" si="11"/>
        <v>OK</v>
      </c>
      <c r="O168" t="s">
        <v>697</v>
      </c>
    </row>
    <row r="169" spans="3:15" x14ac:dyDescent="0.25">
      <c r="C169" s="1">
        <v>42937</v>
      </c>
      <c r="D169" s="5" t="s">
        <v>2</v>
      </c>
      <c r="E169" s="3">
        <v>10296657</v>
      </c>
      <c r="F169" s="4">
        <v>3200</v>
      </c>
      <c r="G169" t="s">
        <v>254</v>
      </c>
      <c r="I169" t="s">
        <v>1586</v>
      </c>
      <c r="J169" s="2">
        <v>10296657</v>
      </c>
      <c r="K169" s="39" t="str">
        <f t="shared" si="8"/>
        <v>SDC205086;RENEWAL</v>
      </c>
      <c r="L169" s="39" t="str">
        <f t="shared" si="9"/>
        <v>OK</v>
      </c>
      <c r="M169" s="39" t="str">
        <f t="shared" si="10"/>
        <v>ERROR</v>
      </c>
      <c r="N169" s="39" t="str">
        <f t="shared" si="11"/>
        <v>OK</v>
      </c>
      <c r="O169" t="s">
        <v>697</v>
      </c>
    </row>
    <row r="170" spans="3:15" x14ac:dyDescent="0.25">
      <c r="C170" s="1">
        <v>42937</v>
      </c>
      <c r="D170" s="5" t="s">
        <v>2</v>
      </c>
      <c r="E170" s="3">
        <v>10303222</v>
      </c>
      <c r="F170" s="4">
        <v>4973</v>
      </c>
      <c r="G170" t="s">
        <v>255</v>
      </c>
      <c r="I170" t="s">
        <v>1587</v>
      </c>
      <c r="J170" s="2">
        <v>10303222</v>
      </c>
      <c r="K170" s="39" t="str">
        <f t="shared" si="8"/>
        <v>SDC206365;RENEWAL</v>
      </c>
      <c r="L170" s="39" t="str">
        <f t="shared" si="9"/>
        <v>OK</v>
      </c>
      <c r="M170" s="39" t="str">
        <f t="shared" si="10"/>
        <v>ERROR</v>
      </c>
      <c r="N170" s="39" t="str">
        <f t="shared" si="11"/>
        <v>OK</v>
      </c>
      <c r="O170" t="s">
        <v>697</v>
      </c>
    </row>
    <row r="171" spans="3:15" x14ac:dyDescent="0.25">
      <c r="C171" s="1">
        <v>42937</v>
      </c>
      <c r="D171" s="5" t="s">
        <v>2</v>
      </c>
      <c r="E171" s="3">
        <v>30055597</v>
      </c>
      <c r="F171" s="4">
        <v>1134</v>
      </c>
      <c r="G171" t="s">
        <v>256</v>
      </c>
      <c r="I171" t="s">
        <v>1589</v>
      </c>
      <c r="J171" s="2">
        <v>30055597</v>
      </c>
      <c r="K171" s="39" t="str">
        <f t="shared" si="8"/>
        <v>SDC175075;RENEWAL</v>
      </c>
      <c r="L171" s="39" t="str">
        <f t="shared" si="9"/>
        <v>OK</v>
      </c>
      <c r="M171" s="39" t="str">
        <f t="shared" si="10"/>
        <v>ERROR</v>
      </c>
      <c r="N171" s="39" t="str">
        <f t="shared" si="11"/>
        <v>OK</v>
      </c>
      <c r="O171" t="s">
        <v>697</v>
      </c>
    </row>
    <row r="172" spans="3:15" x14ac:dyDescent="0.25">
      <c r="C172" s="1">
        <v>42937</v>
      </c>
      <c r="D172" s="5" t="s">
        <v>2</v>
      </c>
      <c r="E172" s="6">
        <v>30102414</v>
      </c>
      <c r="F172" s="4">
        <v>2285</v>
      </c>
      <c r="G172" t="s">
        <v>257</v>
      </c>
      <c r="I172" t="s">
        <v>1933</v>
      </c>
      <c r="J172" s="2" t="s">
        <v>258</v>
      </c>
      <c r="K172" s="39" t="str">
        <f t="shared" si="8"/>
        <v>SDC111471;RENEWAL</v>
      </c>
      <c r="L172" s="39" t="str">
        <f t="shared" si="9"/>
        <v>OK</v>
      </c>
      <c r="M172" s="39" t="str">
        <f t="shared" si="10"/>
        <v>ERROR</v>
      </c>
      <c r="N172" s="39" t="str">
        <f t="shared" si="11"/>
        <v>OK</v>
      </c>
      <c r="O172" t="s">
        <v>697</v>
      </c>
    </row>
    <row r="173" spans="3:15" x14ac:dyDescent="0.25">
      <c r="C173" s="1">
        <v>42937</v>
      </c>
      <c r="D173" s="5" t="s">
        <v>2</v>
      </c>
      <c r="E173" s="6">
        <v>30113150</v>
      </c>
      <c r="F173" s="4">
        <v>1100</v>
      </c>
      <c r="G173" t="s">
        <v>259</v>
      </c>
      <c r="I173" t="s">
        <v>1590</v>
      </c>
      <c r="J173" s="2" t="s">
        <v>260</v>
      </c>
      <c r="K173" s="39" t="str">
        <f t="shared" si="8"/>
        <v>SDC124301;RENEWAL</v>
      </c>
      <c r="L173" s="39" t="str">
        <f t="shared" si="9"/>
        <v>OK</v>
      </c>
      <c r="M173" s="39" t="str">
        <f t="shared" si="10"/>
        <v>ERROR</v>
      </c>
      <c r="N173" s="39" t="str">
        <f t="shared" si="11"/>
        <v>OK</v>
      </c>
      <c r="O173" t="s">
        <v>697</v>
      </c>
    </row>
    <row r="174" spans="3:15" x14ac:dyDescent="0.25">
      <c r="C174" s="1">
        <v>42937</v>
      </c>
      <c r="D174" s="5" t="s">
        <v>2</v>
      </c>
      <c r="E174" s="3">
        <v>30118409</v>
      </c>
      <c r="F174" s="4">
        <v>1465</v>
      </c>
      <c r="G174" t="s">
        <v>261</v>
      </c>
      <c r="I174" t="s">
        <v>1591</v>
      </c>
      <c r="J174" s="2" t="s">
        <v>262</v>
      </c>
      <c r="K174" s="39" t="str">
        <f t="shared" si="8"/>
        <v>SDC109384;RENEWAL</v>
      </c>
      <c r="L174" s="39" t="str">
        <f t="shared" si="9"/>
        <v>OK</v>
      </c>
      <c r="M174" s="39" t="str">
        <f t="shared" si="10"/>
        <v>ERROR</v>
      </c>
      <c r="N174" s="39" t="str">
        <f t="shared" si="11"/>
        <v>OK</v>
      </c>
      <c r="O174" t="s">
        <v>697</v>
      </c>
    </row>
    <row r="175" spans="3:15" x14ac:dyDescent="0.25">
      <c r="C175" s="1">
        <v>42937</v>
      </c>
      <c r="D175" s="5" t="s">
        <v>2</v>
      </c>
      <c r="E175" s="3">
        <v>30119447</v>
      </c>
      <c r="F175" s="4">
        <v>2052</v>
      </c>
      <c r="G175" t="s">
        <v>263</v>
      </c>
      <c r="I175" t="s">
        <v>1592</v>
      </c>
      <c r="J175" s="2">
        <v>30119447</v>
      </c>
      <c r="K175" s="39" t="str">
        <f t="shared" si="8"/>
        <v>SDC204837;RENEWAL</v>
      </c>
      <c r="L175" s="39" t="str">
        <f t="shared" si="9"/>
        <v>OK</v>
      </c>
      <c r="M175" s="39" t="str">
        <f t="shared" si="10"/>
        <v>ERROR</v>
      </c>
      <c r="N175" s="39" t="str">
        <f t="shared" si="11"/>
        <v>OK</v>
      </c>
      <c r="O175" t="s">
        <v>697</v>
      </c>
    </row>
    <row r="176" spans="3:15" x14ac:dyDescent="0.25">
      <c r="C176" s="1">
        <v>42937</v>
      </c>
      <c r="D176" s="5" t="s">
        <v>2</v>
      </c>
      <c r="E176" s="3">
        <v>30124441</v>
      </c>
      <c r="F176" s="4">
        <v>1076</v>
      </c>
      <c r="G176" t="s">
        <v>264</v>
      </c>
      <c r="I176" t="s">
        <v>1593</v>
      </c>
      <c r="J176" s="2" t="s">
        <v>265</v>
      </c>
      <c r="K176" s="39" t="str">
        <f t="shared" si="8"/>
        <v>SDC109247;RENEWAL</v>
      </c>
      <c r="L176" s="39" t="str">
        <f t="shared" si="9"/>
        <v>OK</v>
      </c>
      <c r="M176" s="39" t="str">
        <f t="shared" si="10"/>
        <v>ERROR</v>
      </c>
      <c r="N176" s="39" t="str">
        <f t="shared" si="11"/>
        <v>OK</v>
      </c>
      <c r="O176" t="s">
        <v>697</v>
      </c>
    </row>
    <row r="177" spans="3:15" x14ac:dyDescent="0.25">
      <c r="C177" s="1">
        <v>42937</v>
      </c>
      <c r="D177" s="5" t="s">
        <v>2</v>
      </c>
      <c r="E177" s="3">
        <v>30126122</v>
      </c>
      <c r="F177" s="4">
        <v>1274</v>
      </c>
      <c r="G177" t="s">
        <v>266</v>
      </c>
      <c r="I177" t="s">
        <v>1594</v>
      </c>
      <c r="J177" s="2" t="s">
        <v>267</v>
      </c>
      <c r="K177" s="39" t="str">
        <f t="shared" si="8"/>
        <v>SDC123749;RENEWAL</v>
      </c>
      <c r="L177" s="39" t="str">
        <f t="shared" si="9"/>
        <v>OK</v>
      </c>
      <c r="M177" s="39" t="str">
        <f t="shared" si="10"/>
        <v>ERROR</v>
      </c>
      <c r="N177" s="39" t="str">
        <f t="shared" si="11"/>
        <v>OK</v>
      </c>
      <c r="O177" t="s">
        <v>697</v>
      </c>
    </row>
    <row r="178" spans="3:15" x14ac:dyDescent="0.25">
      <c r="C178" s="1">
        <v>42937</v>
      </c>
      <c r="D178" s="5" t="s">
        <v>2</v>
      </c>
      <c r="E178" s="3">
        <v>30127119</v>
      </c>
      <c r="F178" s="4">
        <v>1525</v>
      </c>
      <c r="G178" t="s">
        <v>268</v>
      </c>
      <c r="I178" t="s">
        <v>1595</v>
      </c>
      <c r="J178" s="2" t="s">
        <v>269</v>
      </c>
      <c r="K178" s="39" t="str">
        <f t="shared" si="8"/>
        <v>SDC108790;RENEWAL</v>
      </c>
      <c r="L178" s="39" t="str">
        <f t="shared" si="9"/>
        <v>OK</v>
      </c>
      <c r="M178" s="39" t="str">
        <f t="shared" si="10"/>
        <v>ERROR</v>
      </c>
      <c r="N178" s="39" t="str">
        <f t="shared" si="11"/>
        <v>OK</v>
      </c>
      <c r="O178" t="s">
        <v>697</v>
      </c>
    </row>
    <row r="179" spans="3:15" x14ac:dyDescent="0.25">
      <c r="C179" s="1">
        <v>42937</v>
      </c>
      <c r="D179" s="5" t="s">
        <v>2</v>
      </c>
      <c r="E179" s="3">
        <v>30130008</v>
      </c>
      <c r="F179" s="4">
        <v>1539</v>
      </c>
      <c r="G179" t="s">
        <v>270</v>
      </c>
      <c r="I179" t="s">
        <v>1596</v>
      </c>
      <c r="J179" s="2" t="s">
        <v>271</v>
      </c>
      <c r="K179" s="39" t="str">
        <f t="shared" si="8"/>
        <v>SDC106483;RENEWAL</v>
      </c>
      <c r="L179" s="39" t="str">
        <f t="shared" si="9"/>
        <v>OK</v>
      </c>
      <c r="M179" s="39" t="str">
        <f t="shared" si="10"/>
        <v>ERROR</v>
      </c>
      <c r="N179" s="39" t="str">
        <f t="shared" si="11"/>
        <v>OK</v>
      </c>
      <c r="O179" t="s">
        <v>697</v>
      </c>
    </row>
    <row r="180" spans="3:15" x14ac:dyDescent="0.25">
      <c r="C180" s="1">
        <v>42937</v>
      </c>
      <c r="D180" s="5" t="s">
        <v>2</v>
      </c>
      <c r="E180" s="3">
        <v>30130008</v>
      </c>
      <c r="F180" s="4">
        <v>1539</v>
      </c>
      <c r="G180" t="s">
        <v>272</v>
      </c>
      <c r="I180" t="s">
        <v>1596</v>
      </c>
      <c r="J180" s="2" t="s">
        <v>271</v>
      </c>
      <c r="K180" s="39" t="str">
        <f t="shared" si="8"/>
        <v>SDC106403;RENEWAL</v>
      </c>
      <c r="L180" s="39" t="str">
        <f t="shared" si="9"/>
        <v>OK</v>
      </c>
      <c r="M180" s="39" t="str">
        <f t="shared" si="10"/>
        <v>ERROR</v>
      </c>
      <c r="N180" s="39" t="str">
        <f t="shared" si="11"/>
        <v>OK</v>
      </c>
      <c r="O180" t="s">
        <v>697</v>
      </c>
    </row>
    <row r="181" spans="3:15" x14ac:dyDescent="0.25">
      <c r="C181" s="1">
        <v>42937</v>
      </c>
      <c r="D181" s="5" t="s">
        <v>2</v>
      </c>
      <c r="E181" s="3">
        <v>30133289</v>
      </c>
      <c r="F181" s="4">
        <v>1009</v>
      </c>
      <c r="G181" t="s">
        <v>273</v>
      </c>
      <c r="I181" t="s">
        <v>1599</v>
      </c>
      <c r="J181" s="2" t="s">
        <v>274</v>
      </c>
      <c r="K181" s="39" t="str">
        <f t="shared" si="8"/>
        <v>SDC113116;RENEWAL</v>
      </c>
      <c r="L181" s="39" t="str">
        <f t="shared" si="9"/>
        <v>OK</v>
      </c>
      <c r="M181" s="39" t="str">
        <f t="shared" si="10"/>
        <v>ERROR</v>
      </c>
      <c r="N181" s="39" t="str">
        <f t="shared" si="11"/>
        <v>OK</v>
      </c>
      <c r="O181" t="s">
        <v>697</v>
      </c>
    </row>
    <row r="182" spans="3:15" x14ac:dyDescent="0.25">
      <c r="C182" s="1">
        <v>42937</v>
      </c>
      <c r="D182" s="5" t="s">
        <v>2</v>
      </c>
      <c r="E182" s="6">
        <v>30134332</v>
      </c>
      <c r="F182" s="4">
        <v>8226</v>
      </c>
      <c r="G182" t="s">
        <v>275</v>
      </c>
      <c r="I182" t="s">
        <v>1600</v>
      </c>
      <c r="J182" s="2" t="s">
        <v>276</v>
      </c>
      <c r="K182" s="39" t="str">
        <f t="shared" si="8"/>
        <v>SDC111724;RENEWAL</v>
      </c>
      <c r="L182" s="39" t="str">
        <f t="shared" si="9"/>
        <v>OK</v>
      </c>
      <c r="M182" s="39" t="str">
        <f t="shared" si="10"/>
        <v>ERROR</v>
      </c>
      <c r="N182" s="39" t="str">
        <f t="shared" si="11"/>
        <v>OK</v>
      </c>
      <c r="O182" t="s">
        <v>697</v>
      </c>
    </row>
    <row r="183" spans="3:15" x14ac:dyDescent="0.25">
      <c r="C183" s="1">
        <v>42937</v>
      </c>
      <c r="D183" s="5" t="s">
        <v>2</v>
      </c>
      <c r="E183" s="3">
        <v>30134638</v>
      </c>
      <c r="F183" s="4">
        <v>6230</v>
      </c>
      <c r="G183" t="s">
        <v>277</v>
      </c>
      <c r="I183" t="s">
        <v>1601</v>
      </c>
      <c r="J183" s="2" t="s">
        <v>278</v>
      </c>
      <c r="K183" s="39" t="str">
        <f t="shared" si="8"/>
        <v>SDC132986;RENEWAL</v>
      </c>
      <c r="L183" s="39" t="str">
        <f t="shared" si="9"/>
        <v>OK</v>
      </c>
      <c r="M183" s="39" t="str">
        <f t="shared" si="10"/>
        <v>ERROR</v>
      </c>
      <c r="N183" s="39" t="str">
        <f t="shared" si="11"/>
        <v>OK</v>
      </c>
      <c r="O183" t="s">
        <v>697</v>
      </c>
    </row>
    <row r="184" spans="3:15" x14ac:dyDescent="0.25">
      <c r="C184" s="1">
        <v>42937</v>
      </c>
      <c r="D184" s="5" t="s">
        <v>2</v>
      </c>
      <c r="E184" s="6">
        <v>30138958</v>
      </c>
      <c r="F184" s="4">
        <v>34592</v>
      </c>
      <c r="G184" t="s">
        <v>279</v>
      </c>
      <c r="I184" t="s">
        <v>1602</v>
      </c>
      <c r="J184" s="2" t="s">
        <v>280</v>
      </c>
      <c r="K184" s="39" t="str">
        <f t="shared" si="8"/>
        <v>SDC113464;RENEWAL</v>
      </c>
      <c r="L184" s="39" t="str">
        <f t="shared" si="9"/>
        <v>OK</v>
      </c>
      <c r="M184" s="39" t="str">
        <f t="shared" si="10"/>
        <v>ERROR</v>
      </c>
      <c r="N184" s="39" t="str">
        <f t="shared" si="11"/>
        <v>OK</v>
      </c>
      <c r="O184" t="s">
        <v>697</v>
      </c>
    </row>
    <row r="185" spans="3:15" x14ac:dyDescent="0.25">
      <c r="C185" s="1">
        <v>42937</v>
      </c>
      <c r="D185" s="5" t="s">
        <v>2</v>
      </c>
      <c r="E185" s="3">
        <v>30141501</v>
      </c>
      <c r="F185" s="4">
        <v>1417</v>
      </c>
      <c r="G185" t="s">
        <v>281</v>
      </c>
      <c r="I185" t="s">
        <v>1603</v>
      </c>
      <c r="J185" s="2">
        <v>30141501</v>
      </c>
      <c r="K185" s="39" t="str">
        <f t="shared" si="8"/>
        <v>SDC109402;RENEWAL</v>
      </c>
      <c r="L185" s="39" t="str">
        <f t="shared" si="9"/>
        <v>OK</v>
      </c>
      <c r="M185" s="39" t="str">
        <f t="shared" si="10"/>
        <v>ERROR</v>
      </c>
      <c r="N185" s="39" t="str">
        <f t="shared" si="11"/>
        <v>OK</v>
      </c>
      <c r="O185" t="s">
        <v>697</v>
      </c>
    </row>
    <row r="186" spans="3:15" x14ac:dyDescent="0.25">
      <c r="C186" s="1">
        <v>42937</v>
      </c>
      <c r="D186" s="5" t="s">
        <v>2</v>
      </c>
      <c r="E186" s="3">
        <v>30142361</v>
      </c>
      <c r="F186" s="4">
        <v>2450</v>
      </c>
      <c r="G186" t="s">
        <v>282</v>
      </c>
      <c r="I186" t="s">
        <v>1604</v>
      </c>
      <c r="J186" s="2" t="s">
        <v>283</v>
      </c>
      <c r="K186" s="39" t="str">
        <f t="shared" si="8"/>
        <v>SDC109300;RENEWAL</v>
      </c>
      <c r="L186" s="39" t="str">
        <f t="shared" si="9"/>
        <v>OK</v>
      </c>
      <c r="M186" s="39" t="str">
        <f t="shared" si="10"/>
        <v>ERROR</v>
      </c>
      <c r="N186" s="39" t="str">
        <f t="shared" si="11"/>
        <v>OK</v>
      </c>
      <c r="O186" t="s">
        <v>697</v>
      </c>
    </row>
    <row r="187" spans="3:15" x14ac:dyDescent="0.25">
      <c r="C187" s="1">
        <v>42937</v>
      </c>
      <c r="D187" s="5" t="s">
        <v>2</v>
      </c>
      <c r="E187" s="6">
        <v>30146197</v>
      </c>
      <c r="F187" s="4">
        <v>1693</v>
      </c>
      <c r="G187" t="s">
        <v>284</v>
      </c>
      <c r="I187" t="s">
        <v>1605</v>
      </c>
      <c r="J187" s="2" t="s">
        <v>285</v>
      </c>
      <c r="K187" s="39" t="str">
        <f t="shared" si="8"/>
        <v>SDC137014;RENEWAL</v>
      </c>
      <c r="L187" s="39" t="str">
        <f t="shared" si="9"/>
        <v>OK</v>
      </c>
      <c r="M187" s="39" t="str">
        <f t="shared" si="10"/>
        <v>ERROR</v>
      </c>
      <c r="N187" s="39" t="str">
        <f t="shared" si="11"/>
        <v>OK</v>
      </c>
      <c r="O187" t="s">
        <v>697</v>
      </c>
    </row>
    <row r="188" spans="3:15" x14ac:dyDescent="0.25">
      <c r="C188" s="1">
        <v>42937</v>
      </c>
      <c r="D188" s="5" t="s">
        <v>2</v>
      </c>
      <c r="E188" s="6">
        <v>30146211</v>
      </c>
      <c r="F188" s="4">
        <v>1381</v>
      </c>
      <c r="G188" t="s">
        <v>286</v>
      </c>
      <c r="I188" t="s">
        <v>1606</v>
      </c>
      <c r="J188" s="2" t="s">
        <v>287</v>
      </c>
      <c r="K188" s="39" t="str">
        <f t="shared" si="8"/>
        <v>SDC137015;RENEWAL</v>
      </c>
      <c r="L188" s="39" t="str">
        <f t="shared" si="9"/>
        <v>OK</v>
      </c>
      <c r="M188" s="39" t="str">
        <f t="shared" si="10"/>
        <v>ERROR</v>
      </c>
      <c r="N188" s="39" t="str">
        <f t="shared" si="11"/>
        <v>OK</v>
      </c>
      <c r="O188" t="s">
        <v>697</v>
      </c>
    </row>
    <row r="189" spans="3:15" x14ac:dyDescent="0.25">
      <c r="C189" s="1">
        <v>42937</v>
      </c>
      <c r="D189" s="5" t="s">
        <v>2</v>
      </c>
      <c r="E189" s="3">
        <v>30146261</v>
      </c>
      <c r="F189" s="4">
        <v>1554</v>
      </c>
      <c r="G189" t="s">
        <v>288</v>
      </c>
      <c r="I189" t="s">
        <v>1607</v>
      </c>
      <c r="J189" s="2" t="s">
        <v>289</v>
      </c>
      <c r="K189" s="39" t="str">
        <f t="shared" si="8"/>
        <v>SDC106295;RENEWAL</v>
      </c>
      <c r="L189" s="39" t="str">
        <f t="shared" si="9"/>
        <v>OK</v>
      </c>
      <c r="M189" s="39" t="str">
        <f t="shared" si="10"/>
        <v>ERROR</v>
      </c>
      <c r="N189" s="39" t="str">
        <f t="shared" si="11"/>
        <v>OK</v>
      </c>
      <c r="O189" t="s">
        <v>697</v>
      </c>
    </row>
    <row r="190" spans="3:15" x14ac:dyDescent="0.25">
      <c r="C190" s="1">
        <v>42937</v>
      </c>
      <c r="D190" s="5" t="s">
        <v>2</v>
      </c>
      <c r="E190" s="3">
        <v>30146574</v>
      </c>
      <c r="F190" s="4">
        <v>5550</v>
      </c>
      <c r="G190" t="s">
        <v>290</v>
      </c>
      <c r="I190" t="s">
        <v>1608</v>
      </c>
      <c r="J190" s="2">
        <v>30146574</v>
      </c>
      <c r="K190" s="39" t="str">
        <f t="shared" si="8"/>
        <v>SDC170979;RENEWAL</v>
      </c>
      <c r="L190" s="39" t="str">
        <f t="shared" si="9"/>
        <v>OK</v>
      </c>
      <c r="M190" s="39" t="str">
        <f t="shared" si="10"/>
        <v>ERROR</v>
      </c>
      <c r="N190" s="39" t="str">
        <f t="shared" si="11"/>
        <v>OK</v>
      </c>
      <c r="O190" t="s">
        <v>697</v>
      </c>
    </row>
    <row r="191" spans="3:15" x14ac:dyDescent="0.25">
      <c r="C191" s="1">
        <v>42937</v>
      </c>
      <c r="D191" s="5" t="s">
        <v>2</v>
      </c>
      <c r="E191" s="3">
        <v>30147101</v>
      </c>
      <c r="F191" s="4">
        <v>116040</v>
      </c>
      <c r="G191" t="s">
        <v>291</v>
      </c>
      <c r="I191" t="s">
        <v>1610</v>
      </c>
      <c r="J191" s="2" t="s">
        <v>292</v>
      </c>
      <c r="K191" s="39" t="str">
        <f t="shared" si="8"/>
        <v>SDC111891;RENEWAL</v>
      </c>
      <c r="L191" s="39" t="str">
        <f t="shared" si="9"/>
        <v>OK</v>
      </c>
      <c r="M191" s="39" t="str">
        <f t="shared" si="10"/>
        <v>ERROR</v>
      </c>
      <c r="N191" s="39" t="str">
        <f t="shared" si="11"/>
        <v>OK</v>
      </c>
      <c r="O191" t="s">
        <v>697</v>
      </c>
    </row>
    <row r="192" spans="3:15" x14ac:dyDescent="0.25">
      <c r="C192" s="1">
        <v>42937</v>
      </c>
      <c r="D192" s="5" t="s">
        <v>2</v>
      </c>
      <c r="E192" s="3">
        <v>30147604</v>
      </c>
      <c r="F192" s="4">
        <v>36655</v>
      </c>
      <c r="G192" t="s">
        <v>293</v>
      </c>
      <c r="I192" t="s">
        <v>1611</v>
      </c>
      <c r="J192" s="2" t="s">
        <v>294</v>
      </c>
      <c r="K192" s="39" t="str">
        <f t="shared" si="8"/>
        <v>SDC111730;RENEWAL</v>
      </c>
      <c r="L192" s="39" t="str">
        <f t="shared" si="9"/>
        <v>OK</v>
      </c>
      <c r="M192" s="39" t="str">
        <f t="shared" si="10"/>
        <v>ERROR</v>
      </c>
      <c r="N192" s="39" t="str">
        <f t="shared" si="11"/>
        <v>OK</v>
      </c>
      <c r="O192" t="s">
        <v>697</v>
      </c>
    </row>
    <row r="193" spans="3:15" x14ac:dyDescent="0.25">
      <c r="C193" s="1">
        <v>42937</v>
      </c>
      <c r="D193" s="5" t="s">
        <v>2</v>
      </c>
      <c r="E193" s="6">
        <v>30147606</v>
      </c>
      <c r="F193" s="4">
        <v>32669</v>
      </c>
      <c r="G193" t="s">
        <v>295</v>
      </c>
      <c r="I193" t="s">
        <v>1612</v>
      </c>
      <c r="J193" s="2" t="s">
        <v>296</v>
      </c>
      <c r="K193" s="39" t="str">
        <f t="shared" si="8"/>
        <v>SDC133036;RENEWAL</v>
      </c>
      <c r="L193" s="39" t="str">
        <f t="shared" si="9"/>
        <v>OK</v>
      </c>
      <c r="M193" s="39" t="str">
        <f t="shared" si="10"/>
        <v>ERROR</v>
      </c>
      <c r="N193" s="39" t="str">
        <f t="shared" si="11"/>
        <v>OK</v>
      </c>
      <c r="O193" t="s">
        <v>697</v>
      </c>
    </row>
    <row r="194" spans="3:15" x14ac:dyDescent="0.25">
      <c r="C194" s="1">
        <v>42937</v>
      </c>
      <c r="D194" s="5" t="s">
        <v>2</v>
      </c>
      <c r="E194" s="3">
        <v>30147607</v>
      </c>
      <c r="F194" s="4">
        <v>4655</v>
      </c>
      <c r="G194" t="s">
        <v>297</v>
      </c>
      <c r="I194" t="s">
        <v>1613</v>
      </c>
      <c r="J194" s="2" t="s">
        <v>298</v>
      </c>
      <c r="K194" s="39" t="str">
        <f t="shared" si="8"/>
        <v>SDC116309;RENEWAL</v>
      </c>
      <c r="L194" s="39" t="str">
        <f t="shared" si="9"/>
        <v>OK</v>
      </c>
      <c r="M194" s="39" t="str">
        <f t="shared" si="10"/>
        <v>ERROR</v>
      </c>
      <c r="N194" s="39" t="str">
        <f t="shared" si="11"/>
        <v>OK</v>
      </c>
      <c r="O194" t="s">
        <v>697</v>
      </c>
    </row>
    <row r="195" spans="3:15" x14ac:dyDescent="0.25">
      <c r="C195" s="1">
        <v>42937</v>
      </c>
      <c r="D195" s="5" t="s">
        <v>2</v>
      </c>
      <c r="E195" s="3">
        <v>30147697</v>
      </c>
      <c r="F195" s="4">
        <v>18039</v>
      </c>
      <c r="G195" t="s">
        <v>299</v>
      </c>
      <c r="I195" t="s">
        <v>1614</v>
      </c>
      <c r="J195" s="2" t="s">
        <v>300</v>
      </c>
      <c r="K195" s="39" t="str">
        <f t="shared" ref="K195:K258" si="12">SUBSTITUTE(TRIM(MID(H195,7,4)&amp;G195&amp;";RENEWAL")," ","")</f>
        <v>SDC109301;RENEWAL</v>
      </c>
      <c r="L195" s="39" t="str">
        <f t="shared" ref="L195:L258" si="13">IF(ISERROR(SUBSTITUTE(SUBSTITUTE(K195,LEFT(K195,6),""),RIGHT(SUBSTITUTE(K195,LEFT(K195,6),""),10),"")*1)&amp;" ¦ "&amp;ISERROR(SUBSTITUTE(SUBSTITUTE(K195,LEFT(K195,7),""),RIGHT(SUBSTITUTE(K195,LEFT(K195,7),""),10),"")*1)="TRUE ¦ TRUE","ERROR","OK")</f>
        <v>OK</v>
      </c>
      <c r="M195" s="39" t="str">
        <f t="shared" ref="M195:M258" si="14">IF(ISERROR(LEFT(K195,3)*1)=TRUE,"ERROR","OK")</f>
        <v>ERROR</v>
      </c>
      <c r="N195" s="39" t="str">
        <f t="shared" ref="N195:N258" si="15">IF(RIGHT(K195,8)=";RENEWAL","OK","ERROR")</f>
        <v>OK</v>
      </c>
      <c r="O195" t="s">
        <v>697</v>
      </c>
    </row>
    <row r="196" spans="3:15" x14ac:dyDescent="0.25">
      <c r="C196" s="1">
        <v>42937</v>
      </c>
      <c r="D196" s="5" t="s">
        <v>2</v>
      </c>
      <c r="E196" s="3">
        <v>30149104</v>
      </c>
      <c r="F196" s="4">
        <v>645</v>
      </c>
      <c r="G196" t="s">
        <v>301</v>
      </c>
      <c r="I196" t="s">
        <v>1615</v>
      </c>
      <c r="J196" s="2" t="s">
        <v>302</v>
      </c>
      <c r="K196" s="39" t="str">
        <f t="shared" si="12"/>
        <v>SDC105501;RENEWAL</v>
      </c>
      <c r="L196" s="39" t="str">
        <f t="shared" si="13"/>
        <v>OK</v>
      </c>
      <c r="M196" s="39" t="str">
        <f t="shared" si="14"/>
        <v>ERROR</v>
      </c>
      <c r="N196" s="39" t="str">
        <f t="shared" si="15"/>
        <v>OK</v>
      </c>
      <c r="O196" t="s">
        <v>697</v>
      </c>
    </row>
    <row r="197" spans="3:15" x14ac:dyDescent="0.25">
      <c r="C197" s="1">
        <v>42937</v>
      </c>
      <c r="D197" s="5" t="s">
        <v>2</v>
      </c>
      <c r="E197" s="3">
        <v>30150929</v>
      </c>
      <c r="F197" s="4">
        <v>1097</v>
      </c>
      <c r="G197" t="s">
        <v>303</v>
      </c>
      <c r="I197" t="s">
        <v>1616</v>
      </c>
      <c r="J197" s="2" t="s">
        <v>304</v>
      </c>
      <c r="K197" s="39" t="str">
        <f t="shared" si="12"/>
        <v>SDC113334;RENEWAL</v>
      </c>
      <c r="L197" s="39" t="str">
        <f t="shared" si="13"/>
        <v>OK</v>
      </c>
      <c r="M197" s="39" t="str">
        <f t="shared" si="14"/>
        <v>ERROR</v>
      </c>
      <c r="N197" s="39" t="str">
        <f t="shared" si="15"/>
        <v>OK</v>
      </c>
      <c r="O197" t="s">
        <v>697</v>
      </c>
    </row>
    <row r="198" spans="3:15" x14ac:dyDescent="0.25">
      <c r="C198" s="1">
        <v>42937</v>
      </c>
      <c r="D198" s="5" t="s">
        <v>2</v>
      </c>
      <c r="E198" s="3">
        <v>30152734</v>
      </c>
      <c r="F198" s="4">
        <v>3165</v>
      </c>
      <c r="G198" t="s">
        <v>305</v>
      </c>
      <c r="I198" t="s">
        <v>1617</v>
      </c>
      <c r="J198" s="2">
        <v>30152734</v>
      </c>
      <c r="K198" s="39" t="str">
        <f t="shared" si="12"/>
        <v>SDC122556;RENEWAL</v>
      </c>
      <c r="L198" s="39" t="str">
        <f t="shared" si="13"/>
        <v>OK</v>
      </c>
      <c r="M198" s="39" t="str">
        <f t="shared" si="14"/>
        <v>ERROR</v>
      </c>
      <c r="N198" s="39" t="str">
        <f t="shared" si="15"/>
        <v>OK</v>
      </c>
      <c r="O198" t="s">
        <v>697</v>
      </c>
    </row>
    <row r="199" spans="3:15" x14ac:dyDescent="0.25">
      <c r="C199" s="1">
        <v>42937</v>
      </c>
      <c r="D199" s="5" t="s">
        <v>2</v>
      </c>
      <c r="E199" s="3">
        <v>30152830</v>
      </c>
      <c r="F199" s="4">
        <v>14707</v>
      </c>
      <c r="G199" t="s">
        <v>306</v>
      </c>
      <c r="I199" t="s">
        <v>1618</v>
      </c>
      <c r="J199" s="2" t="s">
        <v>307</v>
      </c>
      <c r="K199" s="39" t="str">
        <f t="shared" si="12"/>
        <v>SDC112440;RENEWAL</v>
      </c>
      <c r="L199" s="39" t="str">
        <f t="shared" si="13"/>
        <v>OK</v>
      </c>
      <c r="M199" s="39" t="str">
        <f t="shared" si="14"/>
        <v>ERROR</v>
      </c>
      <c r="N199" s="39" t="str">
        <f t="shared" si="15"/>
        <v>OK</v>
      </c>
      <c r="O199" t="s">
        <v>697</v>
      </c>
    </row>
    <row r="200" spans="3:15" x14ac:dyDescent="0.25">
      <c r="C200" s="1">
        <v>42937</v>
      </c>
      <c r="D200" s="5" t="s">
        <v>2</v>
      </c>
      <c r="E200" s="6">
        <v>30155305</v>
      </c>
      <c r="F200" s="4">
        <v>1216</v>
      </c>
      <c r="G200" t="s">
        <v>308</v>
      </c>
      <c r="I200" t="s">
        <v>1619</v>
      </c>
      <c r="J200" s="2" t="s">
        <v>309</v>
      </c>
      <c r="K200" s="39" t="str">
        <f t="shared" si="12"/>
        <v>SDC123518;RENEWAL</v>
      </c>
      <c r="L200" s="39" t="str">
        <f t="shared" si="13"/>
        <v>OK</v>
      </c>
      <c r="M200" s="39" t="str">
        <f t="shared" si="14"/>
        <v>ERROR</v>
      </c>
      <c r="N200" s="39" t="str">
        <f t="shared" si="15"/>
        <v>OK</v>
      </c>
      <c r="O200" t="s">
        <v>697</v>
      </c>
    </row>
    <row r="201" spans="3:15" x14ac:dyDescent="0.25">
      <c r="C201" s="1">
        <v>42937</v>
      </c>
      <c r="D201" s="5" t="s">
        <v>2</v>
      </c>
      <c r="E201" s="3">
        <v>30155835</v>
      </c>
      <c r="F201" s="4">
        <v>1157</v>
      </c>
      <c r="G201" t="s">
        <v>310</v>
      </c>
      <c r="I201" t="s">
        <v>1622</v>
      </c>
      <c r="J201" s="2" t="s">
        <v>311</v>
      </c>
      <c r="K201" s="39" t="str">
        <f t="shared" si="12"/>
        <v>SDC122748;RENEWAL</v>
      </c>
      <c r="L201" s="39" t="str">
        <f t="shared" si="13"/>
        <v>OK</v>
      </c>
      <c r="M201" s="39" t="str">
        <f t="shared" si="14"/>
        <v>ERROR</v>
      </c>
      <c r="N201" s="39" t="str">
        <f t="shared" si="15"/>
        <v>OK</v>
      </c>
      <c r="O201" t="s">
        <v>697</v>
      </c>
    </row>
    <row r="202" spans="3:15" x14ac:dyDescent="0.25">
      <c r="C202" s="1">
        <v>42937</v>
      </c>
      <c r="D202" s="5" t="s">
        <v>2</v>
      </c>
      <c r="E202" s="3">
        <v>30160409</v>
      </c>
      <c r="F202" s="4">
        <v>28618</v>
      </c>
      <c r="G202" t="s">
        <v>312</v>
      </c>
      <c r="I202" t="s">
        <v>1623</v>
      </c>
      <c r="J202" s="2">
        <v>30160409</v>
      </c>
      <c r="K202" s="39" t="str">
        <f t="shared" si="12"/>
        <v>SDC106811;RENEWAL</v>
      </c>
      <c r="L202" s="39" t="str">
        <f t="shared" si="13"/>
        <v>OK</v>
      </c>
      <c r="M202" s="39" t="str">
        <f t="shared" si="14"/>
        <v>ERROR</v>
      </c>
      <c r="N202" s="39" t="str">
        <f t="shared" si="15"/>
        <v>OK</v>
      </c>
      <c r="O202" t="s">
        <v>697</v>
      </c>
    </row>
    <row r="203" spans="3:15" x14ac:dyDescent="0.25">
      <c r="C203" s="1">
        <v>42937</v>
      </c>
      <c r="D203" s="5" t="s">
        <v>2</v>
      </c>
      <c r="E203" s="3">
        <v>30161203</v>
      </c>
      <c r="F203" s="4">
        <v>3119</v>
      </c>
      <c r="G203" t="s">
        <v>313</v>
      </c>
      <c r="I203" t="s">
        <v>1624</v>
      </c>
      <c r="J203" s="2" t="s">
        <v>314</v>
      </c>
      <c r="K203" s="39" t="str">
        <f t="shared" si="12"/>
        <v>SDC119280;RENEWAL</v>
      </c>
      <c r="L203" s="39" t="str">
        <f t="shared" si="13"/>
        <v>OK</v>
      </c>
      <c r="M203" s="39" t="str">
        <f t="shared" si="14"/>
        <v>ERROR</v>
      </c>
      <c r="N203" s="39" t="str">
        <f t="shared" si="15"/>
        <v>OK</v>
      </c>
      <c r="O203" t="s">
        <v>697</v>
      </c>
    </row>
    <row r="204" spans="3:15" x14ac:dyDescent="0.25">
      <c r="C204" s="1">
        <v>42937</v>
      </c>
      <c r="D204" s="5" t="s">
        <v>2</v>
      </c>
      <c r="E204" s="3">
        <v>30161539</v>
      </c>
      <c r="F204" s="4">
        <v>1692</v>
      </c>
      <c r="G204" t="s">
        <v>315</v>
      </c>
      <c r="I204" t="s">
        <v>1625</v>
      </c>
      <c r="J204" s="2" t="s">
        <v>316</v>
      </c>
      <c r="K204" s="39" t="str">
        <f t="shared" si="12"/>
        <v>SDC105379;RENEWAL</v>
      </c>
      <c r="L204" s="39" t="str">
        <f t="shared" si="13"/>
        <v>OK</v>
      </c>
      <c r="M204" s="39" t="str">
        <f t="shared" si="14"/>
        <v>ERROR</v>
      </c>
      <c r="N204" s="39" t="str">
        <f t="shared" si="15"/>
        <v>OK</v>
      </c>
      <c r="O204" t="s">
        <v>697</v>
      </c>
    </row>
    <row r="205" spans="3:15" x14ac:dyDescent="0.25">
      <c r="C205" s="1">
        <v>42937</v>
      </c>
      <c r="D205" s="5" t="s">
        <v>2</v>
      </c>
      <c r="E205" s="3">
        <v>30168888</v>
      </c>
      <c r="F205" s="4">
        <v>1140</v>
      </c>
      <c r="G205" t="s">
        <v>317</v>
      </c>
      <c r="I205" t="s">
        <v>1626</v>
      </c>
      <c r="J205" s="2">
        <v>30168888</v>
      </c>
      <c r="K205" s="39" t="str">
        <f t="shared" si="12"/>
        <v>SDC125301;RENEWAL</v>
      </c>
      <c r="L205" s="39" t="str">
        <f t="shared" si="13"/>
        <v>OK</v>
      </c>
      <c r="M205" s="39" t="str">
        <f t="shared" si="14"/>
        <v>ERROR</v>
      </c>
      <c r="N205" s="39" t="str">
        <f t="shared" si="15"/>
        <v>OK</v>
      </c>
      <c r="O205" t="s">
        <v>697</v>
      </c>
    </row>
    <row r="206" spans="3:15" x14ac:dyDescent="0.25">
      <c r="C206" s="1">
        <v>42937</v>
      </c>
      <c r="D206" s="5" t="s">
        <v>2</v>
      </c>
      <c r="E206" s="3">
        <v>30169243</v>
      </c>
      <c r="F206" s="4">
        <v>5101</v>
      </c>
      <c r="G206" t="s">
        <v>318</v>
      </c>
      <c r="I206" t="s">
        <v>1627</v>
      </c>
      <c r="J206" s="2" t="s">
        <v>319</v>
      </c>
      <c r="K206" s="39" t="str">
        <f t="shared" si="12"/>
        <v>SDC132512;RENEWAL</v>
      </c>
      <c r="L206" s="39" t="str">
        <f t="shared" si="13"/>
        <v>OK</v>
      </c>
      <c r="M206" s="39" t="str">
        <f t="shared" si="14"/>
        <v>ERROR</v>
      </c>
      <c r="N206" s="39" t="str">
        <f t="shared" si="15"/>
        <v>OK</v>
      </c>
      <c r="O206" t="s">
        <v>697</v>
      </c>
    </row>
    <row r="207" spans="3:15" x14ac:dyDescent="0.25">
      <c r="C207" s="1">
        <v>42937</v>
      </c>
      <c r="D207" s="5" t="s">
        <v>2</v>
      </c>
      <c r="E207" s="3">
        <v>30169243</v>
      </c>
      <c r="F207" s="4">
        <v>5101</v>
      </c>
      <c r="G207" t="s">
        <v>320</v>
      </c>
      <c r="I207" t="s">
        <v>1627</v>
      </c>
      <c r="J207" s="2" t="s">
        <v>319</v>
      </c>
      <c r="K207" s="39" t="str">
        <f t="shared" si="12"/>
        <v>SDC132470;RENEWAL</v>
      </c>
      <c r="L207" s="39" t="str">
        <f t="shared" si="13"/>
        <v>OK</v>
      </c>
      <c r="M207" s="39" t="str">
        <f t="shared" si="14"/>
        <v>ERROR</v>
      </c>
      <c r="N207" s="39" t="str">
        <f t="shared" si="15"/>
        <v>OK</v>
      </c>
      <c r="O207" t="s">
        <v>697</v>
      </c>
    </row>
    <row r="208" spans="3:15" x14ac:dyDescent="0.25">
      <c r="C208" s="1">
        <v>42937</v>
      </c>
      <c r="D208" s="5" t="s">
        <v>2</v>
      </c>
      <c r="E208" s="6">
        <v>30169245</v>
      </c>
      <c r="F208" s="4">
        <v>2549</v>
      </c>
      <c r="G208" t="s">
        <v>321</v>
      </c>
      <c r="I208" t="s">
        <v>1629</v>
      </c>
      <c r="J208" s="2" t="s">
        <v>322</v>
      </c>
      <c r="K208" s="39" t="str">
        <f t="shared" si="12"/>
        <v>SDC125869;RENEWAL</v>
      </c>
      <c r="L208" s="39" t="str">
        <f t="shared" si="13"/>
        <v>OK</v>
      </c>
      <c r="M208" s="39" t="str">
        <f t="shared" si="14"/>
        <v>ERROR</v>
      </c>
      <c r="N208" s="39" t="str">
        <f t="shared" si="15"/>
        <v>OK</v>
      </c>
      <c r="O208" t="s">
        <v>697</v>
      </c>
    </row>
    <row r="209" spans="3:15" x14ac:dyDescent="0.25">
      <c r="C209" s="1">
        <v>42937</v>
      </c>
      <c r="D209" s="5" t="s">
        <v>2</v>
      </c>
      <c r="E209" s="3">
        <v>30170401</v>
      </c>
      <c r="F209" s="4">
        <v>5418</v>
      </c>
      <c r="G209" t="s">
        <v>323</v>
      </c>
      <c r="I209" t="s">
        <v>1630</v>
      </c>
      <c r="J209" s="2" t="s">
        <v>324</v>
      </c>
      <c r="K209" s="39" t="str">
        <f t="shared" si="12"/>
        <v>SDC121960;RENEWAL</v>
      </c>
      <c r="L209" s="39" t="str">
        <f t="shared" si="13"/>
        <v>OK</v>
      </c>
      <c r="M209" s="39" t="str">
        <f t="shared" si="14"/>
        <v>ERROR</v>
      </c>
      <c r="N209" s="39" t="str">
        <f t="shared" si="15"/>
        <v>OK</v>
      </c>
      <c r="O209" t="s">
        <v>697</v>
      </c>
    </row>
    <row r="210" spans="3:15" x14ac:dyDescent="0.25">
      <c r="C210" s="1">
        <v>42937</v>
      </c>
      <c r="D210" s="5" t="s">
        <v>2</v>
      </c>
      <c r="E210" s="3">
        <v>30170402</v>
      </c>
      <c r="F210" s="4">
        <v>1016</v>
      </c>
      <c r="G210" t="s">
        <v>325</v>
      </c>
      <c r="I210" t="s">
        <v>1631</v>
      </c>
      <c r="J210" s="2">
        <v>30170402</v>
      </c>
      <c r="K210" s="39" t="str">
        <f t="shared" si="12"/>
        <v>SDC109478;RENEWAL</v>
      </c>
      <c r="L210" s="39" t="str">
        <f t="shared" si="13"/>
        <v>OK</v>
      </c>
      <c r="M210" s="39" t="str">
        <f t="shared" si="14"/>
        <v>ERROR</v>
      </c>
      <c r="N210" s="39" t="str">
        <f t="shared" si="15"/>
        <v>OK</v>
      </c>
      <c r="O210" t="s">
        <v>697</v>
      </c>
    </row>
    <row r="211" spans="3:15" x14ac:dyDescent="0.25">
      <c r="C211" s="1">
        <v>42937</v>
      </c>
      <c r="D211" s="5" t="s">
        <v>2</v>
      </c>
      <c r="E211" s="3">
        <v>30172922</v>
      </c>
      <c r="F211" s="4">
        <v>45608</v>
      </c>
      <c r="G211" t="s">
        <v>326</v>
      </c>
      <c r="I211" t="s">
        <v>1633</v>
      </c>
      <c r="J211" s="2">
        <v>30172922</v>
      </c>
      <c r="K211" s="39" t="str">
        <f t="shared" si="12"/>
        <v>SDC217760;RENEWAL</v>
      </c>
      <c r="L211" s="39" t="str">
        <f t="shared" si="13"/>
        <v>OK</v>
      </c>
      <c r="M211" s="39" t="str">
        <f t="shared" si="14"/>
        <v>ERROR</v>
      </c>
      <c r="N211" s="39" t="str">
        <f t="shared" si="15"/>
        <v>OK</v>
      </c>
      <c r="O211" t="s">
        <v>697</v>
      </c>
    </row>
    <row r="212" spans="3:15" x14ac:dyDescent="0.25">
      <c r="C212" s="1">
        <v>42937</v>
      </c>
      <c r="D212" s="5" t="s">
        <v>2</v>
      </c>
      <c r="E212" s="3">
        <v>30173256</v>
      </c>
      <c r="F212" s="4">
        <v>595</v>
      </c>
      <c r="G212" t="s">
        <v>327</v>
      </c>
      <c r="I212" t="s">
        <v>1634</v>
      </c>
      <c r="J212" s="2" t="s">
        <v>328</v>
      </c>
      <c r="K212" s="39" t="str">
        <f t="shared" si="12"/>
        <v>SDC106588;RENEWAL</v>
      </c>
      <c r="L212" s="39" t="str">
        <f t="shared" si="13"/>
        <v>OK</v>
      </c>
      <c r="M212" s="39" t="str">
        <f t="shared" si="14"/>
        <v>ERROR</v>
      </c>
      <c r="N212" s="39" t="str">
        <f t="shared" si="15"/>
        <v>OK</v>
      </c>
      <c r="O212" t="s">
        <v>697</v>
      </c>
    </row>
    <row r="213" spans="3:15" x14ac:dyDescent="0.25">
      <c r="C213" s="1">
        <v>42937</v>
      </c>
      <c r="D213" s="5" t="s">
        <v>2</v>
      </c>
      <c r="E213" s="3">
        <v>30174070</v>
      </c>
      <c r="F213" s="4">
        <v>564</v>
      </c>
      <c r="G213" t="s">
        <v>329</v>
      </c>
      <c r="I213" t="s">
        <v>1635</v>
      </c>
      <c r="J213" s="2" t="s">
        <v>330</v>
      </c>
      <c r="K213" s="39" t="str">
        <f t="shared" si="12"/>
        <v>SDC106747;RENEWAL</v>
      </c>
      <c r="L213" s="39" t="str">
        <f t="shared" si="13"/>
        <v>OK</v>
      </c>
      <c r="M213" s="39" t="str">
        <f t="shared" si="14"/>
        <v>ERROR</v>
      </c>
      <c r="N213" s="39" t="str">
        <f t="shared" si="15"/>
        <v>OK</v>
      </c>
      <c r="O213" t="s">
        <v>697</v>
      </c>
    </row>
    <row r="214" spans="3:15" x14ac:dyDescent="0.25">
      <c r="C214" s="1">
        <v>42937</v>
      </c>
      <c r="D214" s="5" t="s">
        <v>2</v>
      </c>
      <c r="E214" s="3">
        <v>30174070</v>
      </c>
      <c r="F214" s="4">
        <v>564</v>
      </c>
      <c r="G214" t="s">
        <v>331</v>
      </c>
      <c r="I214" t="s">
        <v>1635</v>
      </c>
      <c r="J214" s="2" t="s">
        <v>330</v>
      </c>
      <c r="K214" s="39" t="str">
        <f t="shared" si="12"/>
        <v>SDC106667;RENEWAL</v>
      </c>
      <c r="L214" s="39" t="str">
        <f t="shared" si="13"/>
        <v>OK</v>
      </c>
      <c r="M214" s="39" t="str">
        <f t="shared" si="14"/>
        <v>ERROR</v>
      </c>
      <c r="N214" s="39" t="str">
        <f t="shared" si="15"/>
        <v>OK</v>
      </c>
      <c r="O214" t="s">
        <v>697</v>
      </c>
    </row>
    <row r="215" spans="3:15" x14ac:dyDescent="0.25">
      <c r="C215" s="1">
        <v>42937</v>
      </c>
      <c r="D215" s="5" t="s">
        <v>2</v>
      </c>
      <c r="E215" s="3">
        <v>30174975</v>
      </c>
      <c r="F215" s="4">
        <v>1214</v>
      </c>
      <c r="G215" t="s">
        <v>332</v>
      </c>
      <c r="I215" t="s">
        <v>1637</v>
      </c>
      <c r="J215" s="2">
        <v>30174975</v>
      </c>
      <c r="K215" s="39" t="str">
        <f t="shared" si="12"/>
        <v>SDC119567;RENEWAL</v>
      </c>
      <c r="L215" s="39" t="str">
        <f t="shared" si="13"/>
        <v>OK</v>
      </c>
      <c r="M215" s="39" t="str">
        <f t="shared" si="14"/>
        <v>ERROR</v>
      </c>
      <c r="N215" s="39" t="str">
        <f t="shared" si="15"/>
        <v>OK</v>
      </c>
      <c r="O215" t="s">
        <v>697</v>
      </c>
    </row>
    <row r="216" spans="3:15" x14ac:dyDescent="0.25">
      <c r="C216" s="1">
        <v>42937</v>
      </c>
      <c r="D216" s="5" t="s">
        <v>2</v>
      </c>
      <c r="E216" s="3">
        <v>30177709</v>
      </c>
      <c r="F216" s="4">
        <v>4335</v>
      </c>
      <c r="G216" t="s">
        <v>333</v>
      </c>
      <c r="I216" t="s">
        <v>1638</v>
      </c>
      <c r="J216" s="2" t="s">
        <v>334</v>
      </c>
      <c r="K216" s="39" t="str">
        <f t="shared" si="12"/>
        <v>SDC121071;RENEWAL</v>
      </c>
      <c r="L216" s="39" t="str">
        <f t="shared" si="13"/>
        <v>OK</v>
      </c>
      <c r="M216" s="39" t="str">
        <f t="shared" si="14"/>
        <v>ERROR</v>
      </c>
      <c r="N216" s="39" t="str">
        <f t="shared" si="15"/>
        <v>OK</v>
      </c>
      <c r="O216" t="s">
        <v>697</v>
      </c>
    </row>
    <row r="217" spans="3:15" x14ac:dyDescent="0.25">
      <c r="C217" s="1">
        <v>42937</v>
      </c>
      <c r="D217" s="5" t="s">
        <v>2</v>
      </c>
      <c r="E217" s="3">
        <v>30180631</v>
      </c>
      <c r="F217" s="4">
        <v>16840</v>
      </c>
      <c r="G217" t="s">
        <v>335</v>
      </c>
      <c r="I217" t="s">
        <v>1639</v>
      </c>
      <c r="J217" s="2" t="s">
        <v>336</v>
      </c>
      <c r="K217" s="39" t="str">
        <f t="shared" si="12"/>
        <v>SDC107172;RENEWAL</v>
      </c>
      <c r="L217" s="39" t="str">
        <f t="shared" si="13"/>
        <v>OK</v>
      </c>
      <c r="M217" s="39" t="str">
        <f t="shared" si="14"/>
        <v>ERROR</v>
      </c>
      <c r="N217" s="39" t="str">
        <f t="shared" si="15"/>
        <v>OK</v>
      </c>
      <c r="O217" t="s">
        <v>697</v>
      </c>
    </row>
    <row r="218" spans="3:15" x14ac:dyDescent="0.25">
      <c r="C218" s="1">
        <v>42937</v>
      </c>
      <c r="D218" s="5" t="s">
        <v>2</v>
      </c>
      <c r="E218" s="3">
        <v>30184149</v>
      </c>
      <c r="F218" s="4">
        <v>2000</v>
      </c>
      <c r="G218" t="s">
        <v>337</v>
      </c>
      <c r="I218" t="s">
        <v>1640</v>
      </c>
      <c r="J218" s="2" t="s">
        <v>338</v>
      </c>
      <c r="K218" s="39" t="str">
        <f t="shared" si="12"/>
        <v>SDC129537;RENEWAL</v>
      </c>
      <c r="L218" s="39" t="str">
        <f t="shared" si="13"/>
        <v>OK</v>
      </c>
      <c r="M218" s="39" t="str">
        <f t="shared" si="14"/>
        <v>ERROR</v>
      </c>
      <c r="N218" s="39" t="str">
        <f t="shared" si="15"/>
        <v>OK</v>
      </c>
      <c r="O218" t="s">
        <v>697</v>
      </c>
    </row>
    <row r="219" spans="3:15" x14ac:dyDescent="0.25">
      <c r="C219" s="1">
        <v>42937</v>
      </c>
      <c r="D219" s="5" t="s">
        <v>2</v>
      </c>
      <c r="E219" s="3">
        <v>30191503</v>
      </c>
      <c r="F219" s="4">
        <v>6067</v>
      </c>
      <c r="G219" t="s">
        <v>339</v>
      </c>
      <c r="I219" t="s">
        <v>1641</v>
      </c>
      <c r="J219" s="2" t="s">
        <v>340</v>
      </c>
      <c r="K219" s="39" t="str">
        <f t="shared" si="12"/>
        <v>SDC128384;RENEWAL</v>
      </c>
      <c r="L219" s="39" t="str">
        <f t="shared" si="13"/>
        <v>OK</v>
      </c>
      <c r="M219" s="39" t="str">
        <f t="shared" si="14"/>
        <v>ERROR</v>
      </c>
      <c r="N219" s="39" t="str">
        <f t="shared" si="15"/>
        <v>OK</v>
      </c>
      <c r="O219" t="s">
        <v>697</v>
      </c>
    </row>
    <row r="220" spans="3:15" x14ac:dyDescent="0.25">
      <c r="C220" s="1">
        <v>42937</v>
      </c>
      <c r="D220" s="5" t="s">
        <v>2</v>
      </c>
      <c r="E220" s="3">
        <v>30194605</v>
      </c>
      <c r="F220" s="4">
        <v>150</v>
      </c>
      <c r="G220" t="s">
        <v>341</v>
      </c>
      <c r="I220" t="s">
        <v>1642</v>
      </c>
      <c r="J220" s="2" t="s">
        <v>342</v>
      </c>
      <c r="K220" s="39" t="str">
        <f t="shared" si="12"/>
        <v>SDC125245;RENEWAL</v>
      </c>
      <c r="L220" s="39" t="str">
        <f t="shared" si="13"/>
        <v>OK</v>
      </c>
      <c r="M220" s="39" t="str">
        <f t="shared" si="14"/>
        <v>ERROR</v>
      </c>
      <c r="N220" s="39" t="str">
        <f t="shared" si="15"/>
        <v>OK</v>
      </c>
      <c r="O220" t="s">
        <v>697</v>
      </c>
    </row>
    <row r="221" spans="3:15" x14ac:dyDescent="0.25">
      <c r="C221" s="1">
        <v>42937</v>
      </c>
      <c r="D221" s="5" t="s">
        <v>2</v>
      </c>
      <c r="E221" s="3">
        <v>30194935</v>
      </c>
      <c r="F221" s="4">
        <v>1393</v>
      </c>
      <c r="G221" t="s">
        <v>343</v>
      </c>
      <c r="I221" t="s">
        <v>1644</v>
      </c>
      <c r="J221" s="2" t="s">
        <v>344</v>
      </c>
      <c r="K221" s="39" t="str">
        <f t="shared" si="12"/>
        <v>SDC123388;RENEWAL</v>
      </c>
      <c r="L221" s="39" t="str">
        <f t="shared" si="13"/>
        <v>OK</v>
      </c>
      <c r="M221" s="39" t="str">
        <f t="shared" si="14"/>
        <v>ERROR</v>
      </c>
      <c r="N221" s="39" t="str">
        <f t="shared" si="15"/>
        <v>OK</v>
      </c>
      <c r="O221" t="s">
        <v>697</v>
      </c>
    </row>
    <row r="222" spans="3:15" x14ac:dyDescent="0.25">
      <c r="C222" s="1">
        <v>42937</v>
      </c>
      <c r="D222" s="5" t="s">
        <v>2</v>
      </c>
      <c r="E222" s="3">
        <v>30195063</v>
      </c>
      <c r="F222" s="4">
        <v>2000</v>
      </c>
      <c r="G222" t="s">
        <v>345</v>
      </c>
      <c r="I222" t="s">
        <v>1645</v>
      </c>
      <c r="J222" s="2">
        <v>30195063</v>
      </c>
      <c r="K222" s="39" t="str">
        <f t="shared" si="12"/>
        <v>SDC119502;RENEWAL</v>
      </c>
      <c r="L222" s="39" t="str">
        <f t="shared" si="13"/>
        <v>OK</v>
      </c>
      <c r="M222" s="39" t="str">
        <f t="shared" si="14"/>
        <v>ERROR</v>
      </c>
      <c r="N222" s="39" t="str">
        <f t="shared" si="15"/>
        <v>OK</v>
      </c>
      <c r="O222" t="s">
        <v>697</v>
      </c>
    </row>
    <row r="223" spans="3:15" x14ac:dyDescent="0.25">
      <c r="C223" s="1">
        <v>42937</v>
      </c>
      <c r="D223" s="5" t="s">
        <v>2</v>
      </c>
      <c r="E223" s="3">
        <v>30195471</v>
      </c>
      <c r="F223" s="4">
        <v>2189</v>
      </c>
      <c r="G223" t="s">
        <v>346</v>
      </c>
      <c r="I223" t="s">
        <v>1646</v>
      </c>
      <c r="J223" s="2" t="s">
        <v>347</v>
      </c>
      <c r="K223" s="39" t="str">
        <f t="shared" si="12"/>
        <v>SDC115846;RENEWAL</v>
      </c>
      <c r="L223" s="39" t="str">
        <f t="shared" si="13"/>
        <v>OK</v>
      </c>
      <c r="M223" s="39" t="str">
        <f t="shared" si="14"/>
        <v>ERROR</v>
      </c>
      <c r="N223" s="39" t="str">
        <f t="shared" si="15"/>
        <v>OK</v>
      </c>
      <c r="O223" t="s">
        <v>697</v>
      </c>
    </row>
    <row r="224" spans="3:15" x14ac:dyDescent="0.25">
      <c r="C224" s="1">
        <v>42937</v>
      </c>
      <c r="D224" s="5" t="s">
        <v>2</v>
      </c>
      <c r="E224" s="3">
        <v>30199551</v>
      </c>
      <c r="F224" s="4">
        <v>3175</v>
      </c>
      <c r="G224" t="s">
        <v>348</v>
      </c>
      <c r="I224" t="s">
        <v>1647</v>
      </c>
      <c r="J224" s="2" t="s">
        <v>349</v>
      </c>
      <c r="K224" s="39" t="str">
        <f t="shared" si="12"/>
        <v>SDC129939;RENEWAL</v>
      </c>
      <c r="L224" s="39" t="str">
        <f t="shared" si="13"/>
        <v>OK</v>
      </c>
      <c r="M224" s="39" t="str">
        <f t="shared" si="14"/>
        <v>ERROR</v>
      </c>
      <c r="N224" s="39" t="str">
        <f t="shared" si="15"/>
        <v>OK</v>
      </c>
      <c r="O224" t="s">
        <v>697</v>
      </c>
    </row>
    <row r="225" spans="3:15" x14ac:dyDescent="0.25">
      <c r="C225" s="1">
        <v>42937</v>
      </c>
      <c r="D225" s="5" t="s">
        <v>2</v>
      </c>
      <c r="E225" s="3">
        <v>30200350</v>
      </c>
      <c r="F225" s="4">
        <v>3289</v>
      </c>
      <c r="G225" t="s">
        <v>350</v>
      </c>
      <c r="I225" t="s">
        <v>1648</v>
      </c>
      <c r="J225" s="2" t="s">
        <v>351</v>
      </c>
      <c r="K225" s="39" t="str">
        <f t="shared" si="12"/>
        <v>SDC119599;RENEWAL</v>
      </c>
      <c r="L225" s="39" t="str">
        <f t="shared" si="13"/>
        <v>OK</v>
      </c>
      <c r="M225" s="39" t="str">
        <f t="shared" si="14"/>
        <v>ERROR</v>
      </c>
      <c r="N225" s="39" t="str">
        <f t="shared" si="15"/>
        <v>OK</v>
      </c>
      <c r="O225" t="s">
        <v>697</v>
      </c>
    </row>
    <row r="226" spans="3:15" x14ac:dyDescent="0.25">
      <c r="C226" s="1">
        <v>42937</v>
      </c>
      <c r="D226" s="5" t="s">
        <v>2</v>
      </c>
      <c r="E226" s="3">
        <v>30200374</v>
      </c>
      <c r="F226" s="4">
        <v>6050</v>
      </c>
      <c r="G226" t="s">
        <v>352</v>
      </c>
      <c r="I226" t="s">
        <v>1649</v>
      </c>
      <c r="J226" s="2">
        <v>30200374</v>
      </c>
      <c r="K226" s="39" t="str">
        <f t="shared" si="12"/>
        <v>SDC171618;RENEWAL</v>
      </c>
      <c r="L226" s="39" t="str">
        <f t="shared" si="13"/>
        <v>OK</v>
      </c>
      <c r="M226" s="39" t="str">
        <f t="shared" si="14"/>
        <v>ERROR</v>
      </c>
      <c r="N226" s="39" t="str">
        <f t="shared" si="15"/>
        <v>OK</v>
      </c>
      <c r="O226" t="s">
        <v>697</v>
      </c>
    </row>
    <row r="227" spans="3:15" x14ac:dyDescent="0.25">
      <c r="C227" s="1">
        <v>42937</v>
      </c>
      <c r="D227" s="5" t="s">
        <v>2</v>
      </c>
      <c r="E227" s="3">
        <v>30200413</v>
      </c>
      <c r="F227" s="4">
        <v>2000</v>
      </c>
      <c r="G227" t="s">
        <v>353</v>
      </c>
      <c r="I227" t="s">
        <v>1650</v>
      </c>
      <c r="J227" s="2" t="s">
        <v>354</v>
      </c>
      <c r="K227" s="39" t="str">
        <f t="shared" si="12"/>
        <v>SDC131838;RENEWAL</v>
      </c>
      <c r="L227" s="39" t="str">
        <f t="shared" si="13"/>
        <v>OK</v>
      </c>
      <c r="M227" s="39" t="str">
        <f t="shared" si="14"/>
        <v>ERROR</v>
      </c>
      <c r="N227" s="39" t="str">
        <f t="shared" si="15"/>
        <v>OK</v>
      </c>
      <c r="O227" t="s">
        <v>697</v>
      </c>
    </row>
    <row r="228" spans="3:15" x14ac:dyDescent="0.25">
      <c r="C228" s="1">
        <v>42937</v>
      </c>
      <c r="D228" s="5" t="s">
        <v>2</v>
      </c>
      <c r="E228" s="3">
        <v>30203421</v>
      </c>
      <c r="F228" s="4">
        <v>2042</v>
      </c>
      <c r="G228" t="s">
        <v>355</v>
      </c>
      <c r="I228" t="s">
        <v>1651</v>
      </c>
      <c r="J228" s="2" t="s">
        <v>356</v>
      </c>
      <c r="K228" s="39" t="str">
        <f t="shared" si="12"/>
        <v>SDC105994;RENEWAL</v>
      </c>
      <c r="L228" s="39" t="str">
        <f t="shared" si="13"/>
        <v>OK</v>
      </c>
      <c r="M228" s="39" t="str">
        <f t="shared" si="14"/>
        <v>ERROR</v>
      </c>
      <c r="N228" s="39" t="str">
        <f t="shared" si="15"/>
        <v>OK</v>
      </c>
      <c r="O228" t="s">
        <v>697</v>
      </c>
    </row>
    <row r="229" spans="3:15" x14ac:dyDescent="0.25">
      <c r="C229" s="1">
        <v>42937</v>
      </c>
      <c r="D229" s="5" t="s">
        <v>2</v>
      </c>
      <c r="E229" s="3">
        <v>30205832</v>
      </c>
      <c r="F229" s="4">
        <v>2000</v>
      </c>
      <c r="G229" t="s">
        <v>357</v>
      </c>
      <c r="I229" t="s">
        <v>1652</v>
      </c>
      <c r="J229" s="2" t="s">
        <v>358</v>
      </c>
      <c r="K229" s="39" t="str">
        <f t="shared" si="12"/>
        <v>SDC124978;RENEWAL</v>
      </c>
      <c r="L229" s="39" t="str">
        <f t="shared" si="13"/>
        <v>OK</v>
      </c>
      <c r="M229" s="39" t="str">
        <f t="shared" si="14"/>
        <v>ERROR</v>
      </c>
      <c r="N229" s="39" t="str">
        <f t="shared" si="15"/>
        <v>OK</v>
      </c>
      <c r="O229" t="s">
        <v>697</v>
      </c>
    </row>
    <row r="230" spans="3:15" x14ac:dyDescent="0.25">
      <c r="C230" s="1">
        <v>42937</v>
      </c>
      <c r="D230" s="5" t="s">
        <v>2</v>
      </c>
      <c r="E230" s="3">
        <v>30207701</v>
      </c>
      <c r="F230" s="4">
        <v>2152</v>
      </c>
      <c r="G230" t="s">
        <v>359</v>
      </c>
      <c r="I230" t="s">
        <v>1653</v>
      </c>
      <c r="J230" s="2" t="s">
        <v>360</v>
      </c>
      <c r="K230" s="39" t="str">
        <f t="shared" si="12"/>
        <v>SDC124285;RENEWAL</v>
      </c>
      <c r="L230" s="39" t="str">
        <f t="shared" si="13"/>
        <v>OK</v>
      </c>
      <c r="M230" s="39" t="str">
        <f t="shared" si="14"/>
        <v>ERROR</v>
      </c>
      <c r="N230" s="39" t="str">
        <f t="shared" si="15"/>
        <v>OK</v>
      </c>
      <c r="O230" t="s">
        <v>697</v>
      </c>
    </row>
    <row r="231" spans="3:15" x14ac:dyDescent="0.25">
      <c r="C231" s="1">
        <v>42937</v>
      </c>
      <c r="D231" s="5" t="s">
        <v>136</v>
      </c>
      <c r="E231" s="3">
        <v>30207998</v>
      </c>
      <c r="F231" s="4">
        <v>2500</v>
      </c>
      <c r="G231" t="s">
        <v>361</v>
      </c>
      <c r="I231" t="s">
        <v>1655</v>
      </c>
      <c r="J231" s="2">
        <v>30207998</v>
      </c>
      <c r="K231" s="39" t="str">
        <f t="shared" si="12"/>
        <v>SDC210497;RENEWAL</v>
      </c>
      <c r="L231" s="39" t="str">
        <f t="shared" si="13"/>
        <v>OK</v>
      </c>
      <c r="M231" s="39" t="str">
        <f t="shared" si="14"/>
        <v>ERROR</v>
      </c>
      <c r="N231" s="39" t="str">
        <f t="shared" si="15"/>
        <v>OK</v>
      </c>
      <c r="O231" t="s">
        <v>701</v>
      </c>
    </row>
    <row r="232" spans="3:15" x14ac:dyDescent="0.25">
      <c r="C232" s="1">
        <v>42937</v>
      </c>
      <c r="D232" s="5" t="s">
        <v>2</v>
      </c>
      <c r="E232" s="3">
        <v>30208664</v>
      </c>
      <c r="F232" s="4">
        <v>2000</v>
      </c>
      <c r="G232" t="s">
        <v>362</v>
      </c>
      <c r="I232" t="s">
        <v>1656</v>
      </c>
      <c r="J232" s="2" t="s">
        <v>363</v>
      </c>
      <c r="K232" s="39" t="str">
        <f t="shared" si="12"/>
        <v>SDC123237;RENEWAL</v>
      </c>
      <c r="L232" s="39" t="str">
        <f t="shared" si="13"/>
        <v>OK</v>
      </c>
      <c r="M232" s="39" t="str">
        <f t="shared" si="14"/>
        <v>ERROR</v>
      </c>
      <c r="N232" s="39" t="str">
        <f t="shared" si="15"/>
        <v>OK</v>
      </c>
      <c r="O232" t="s">
        <v>697</v>
      </c>
    </row>
    <row r="233" spans="3:15" x14ac:dyDescent="0.25">
      <c r="C233" s="1">
        <v>42937</v>
      </c>
      <c r="D233" s="5" t="s">
        <v>2</v>
      </c>
      <c r="E233" s="3">
        <v>30208817</v>
      </c>
      <c r="F233" s="4">
        <v>3557</v>
      </c>
      <c r="G233" t="s">
        <v>364</v>
      </c>
      <c r="I233" t="s">
        <v>1657</v>
      </c>
      <c r="J233" s="2" t="s">
        <v>365</v>
      </c>
      <c r="K233" s="39" t="str">
        <f t="shared" si="12"/>
        <v>SDC125495;RENEWAL</v>
      </c>
      <c r="L233" s="39" t="str">
        <f t="shared" si="13"/>
        <v>OK</v>
      </c>
      <c r="M233" s="39" t="str">
        <f t="shared" si="14"/>
        <v>ERROR</v>
      </c>
      <c r="N233" s="39" t="str">
        <f t="shared" si="15"/>
        <v>OK</v>
      </c>
      <c r="O233" t="s">
        <v>697</v>
      </c>
    </row>
    <row r="234" spans="3:15" x14ac:dyDescent="0.25">
      <c r="C234" s="1">
        <v>42937</v>
      </c>
      <c r="D234" s="5" t="s">
        <v>2</v>
      </c>
      <c r="E234" s="3">
        <v>30208869</v>
      </c>
      <c r="F234" s="4">
        <v>10856</v>
      </c>
      <c r="G234" t="s">
        <v>366</v>
      </c>
      <c r="I234" t="s">
        <v>1658</v>
      </c>
      <c r="J234" s="2" t="s">
        <v>367</v>
      </c>
      <c r="K234" s="39" t="str">
        <f t="shared" si="12"/>
        <v>SDC110272;RENEWAL</v>
      </c>
      <c r="L234" s="39" t="str">
        <f t="shared" si="13"/>
        <v>OK</v>
      </c>
      <c r="M234" s="39" t="str">
        <f t="shared" si="14"/>
        <v>ERROR</v>
      </c>
      <c r="N234" s="39" t="str">
        <f t="shared" si="15"/>
        <v>OK</v>
      </c>
      <c r="O234" t="s">
        <v>697</v>
      </c>
    </row>
    <row r="235" spans="3:15" x14ac:dyDescent="0.25">
      <c r="C235" s="1">
        <v>42937</v>
      </c>
      <c r="D235" s="5" t="s">
        <v>2</v>
      </c>
      <c r="E235" s="3">
        <v>30209521</v>
      </c>
      <c r="F235" s="4">
        <v>12421</v>
      </c>
      <c r="G235" t="s">
        <v>368</v>
      </c>
      <c r="I235" t="s">
        <v>1659</v>
      </c>
      <c r="J235" s="2" t="s">
        <v>369</v>
      </c>
      <c r="K235" s="39" t="str">
        <f t="shared" si="12"/>
        <v>SDC105632;RENEWAL</v>
      </c>
      <c r="L235" s="39" t="str">
        <f t="shared" si="13"/>
        <v>OK</v>
      </c>
      <c r="M235" s="39" t="str">
        <f t="shared" si="14"/>
        <v>ERROR</v>
      </c>
      <c r="N235" s="39" t="str">
        <f t="shared" si="15"/>
        <v>OK</v>
      </c>
      <c r="O235" t="s">
        <v>697</v>
      </c>
    </row>
    <row r="236" spans="3:15" x14ac:dyDescent="0.25">
      <c r="C236" s="1">
        <v>42937</v>
      </c>
      <c r="D236" s="5" t="s">
        <v>2</v>
      </c>
      <c r="E236" s="3">
        <v>30212358</v>
      </c>
      <c r="F236" s="4">
        <v>6592</v>
      </c>
      <c r="G236" t="s">
        <v>370</v>
      </c>
      <c r="I236" t="s">
        <v>1660</v>
      </c>
      <c r="J236" s="2" t="s">
        <v>371</v>
      </c>
      <c r="K236" s="39" t="str">
        <f t="shared" si="12"/>
        <v>SDC133919;RENEWAL</v>
      </c>
      <c r="L236" s="39" t="str">
        <f t="shared" si="13"/>
        <v>OK</v>
      </c>
      <c r="M236" s="39" t="str">
        <f t="shared" si="14"/>
        <v>ERROR</v>
      </c>
      <c r="N236" s="39" t="str">
        <f t="shared" si="15"/>
        <v>OK</v>
      </c>
      <c r="O236" t="s">
        <v>697</v>
      </c>
    </row>
    <row r="237" spans="3:15" x14ac:dyDescent="0.25">
      <c r="C237" s="1">
        <v>42937</v>
      </c>
      <c r="D237" s="5" t="s">
        <v>2</v>
      </c>
      <c r="E237" s="3">
        <v>30212381</v>
      </c>
      <c r="F237" s="4">
        <v>13297</v>
      </c>
      <c r="G237" t="s">
        <v>372</v>
      </c>
      <c r="I237" t="s">
        <v>1661</v>
      </c>
      <c r="J237" s="2" t="s">
        <v>373</v>
      </c>
      <c r="K237" s="39" t="str">
        <f t="shared" si="12"/>
        <v>SDC116503;RENEWAL</v>
      </c>
      <c r="L237" s="39" t="str">
        <f t="shared" si="13"/>
        <v>OK</v>
      </c>
      <c r="M237" s="39" t="str">
        <f t="shared" si="14"/>
        <v>ERROR</v>
      </c>
      <c r="N237" s="39" t="str">
        <f t="shared" si="15"/>
        <v>OK</v>
      </c>
      <c r="O237" t="s">
        <v>697</v>
      </c>
    </row>
    <row r="238" spans="3:15" x14ac:dyDescent="0.25">
      <c r="C238" s="1">
        <v>42937</v>
      </c>
      <c r="D238" s="5" t="s">
        <v>2</v>
      </c>
      <c r="E238" s="3">
        <v>30213896</v>
      </c>
      <c r="F238" s="4">
        <v>2510</v>
      </c>
      <c r="G238" t="s">
        <v>374</v>
      </c>
      <c r="I238" t="s">
        <v>1662</v>
      </c>
      <c r="J238" s="2">
        <v>30213896</v>
      </c>
      <c r="K238" s="39" t="str">
        <f t="shared" si="12"/>
        <v>SDC171293;RENEWAL</v>
      </c>
      <c r="L238" s="39" t="str">
        <f t="shared" si="13"/>
        <v>OK</v>
      </c>
      <c r="M238" s="39" t="str">
        <f t="shared" si="14"/>
        <v>ERROR</v>
      </c>
      <c r="N238" s="39" t="str">
        <f t="shared" si="15"/>
        <v>OK</v>
      </c>
      <c r="O238" t="s">
        <v>697</v>
      </c>
    </row>
    <row r="239" spans="3:15" x14ac:dyDescent="0.25">
      <c r="C239" s="1">
        <v>42937</v>
      </c>
      <c r="D239" s="5" t="s">
        <v>2</v>
      </c>
      <c r="E239" s="3">
        <v>30213981</v>
      </c>
      <c r="F239" s="4">
        <v>2176</v>
      </c>
      <c r="G239" t="s">
        <v>375</v>
      </c>
      <c r="I239" t="s">
        <v>1663</v>
      </c>
      <c r="J239" s="2" t="s">
        <v>376</v>
      </c>
      <c r="K239" s="39" t="str">
        <f t="shared" si="12"/>
        <v>SDC135421;RENEWAL</v>
      </c>
      <c r="L239" s="39" t="str">
        <f t="shared" si="13"/>
        <v>OK</v>
      </c>
      <c r="M239" s="39" t="str">
        <f t="shared" si="14"/>
        <v>ERROR</v>
      </c>
      <c r="N239" s="39" t="str">
        <f t="shared" si="15"/>
        <v>OK</v>
      </c>
      <c r="O239" t="s">
        <v>697</v>
      </c>
    </row>
    <row r="240" spans="3:15" x14ac:dyDescent="0.25">
      <c r="C240" s="1">
        <v>42937</v>
      </c>
      <c r="D240" s="5" t="s">
        <v>2</v>
      </c>
      <c r="E240" s="3">
        <v>30218297</v>
      </c>
      <c r="F240" s="4">
        <v>15157</v>
      </c>
      <c r="G240" t="s">
        <v>377</v>
      </c>
      <c r="I240" t="s">
        <v>1664</v>
      </c>
      <c r="J240" s="2">
        <v>30218297</v>
      </c>
      <c r="K240" s="39" t="str">
        <f t="shared" si="12"/>
        <v>SDC217314;RENEWAL</v>
      </c>
      <c r="L240" s="39" t="str">
        <f t="shared" si="13"/>
        <v>OK</v>
      </c>
      <c r="M240" s="39" t="str">
        <f t="shared" si="14"/>
        <v>ERROR</v>
      </c>
      <c r="N240" s="39" t="str">
        <f t="shared" si="15"/>
        <v>OK</v>
      </c>
      <c r="O240" t="s">
        <v>697</v>
      </c>
    </row>
    <row r="241" spans="3:15" x14ac:dyDescent="0.25">
      <c r="C241" s="1">
        <v>42937</v>
      </c>
      <c r="D241" s="5" t="s">
        <v>136</v>
      </c>
      <c r="E241" s="3">
        <v>30222834</v>
      </c>
      <c r="F241" s="4">
        <v>1470</v>
      </c>
      <c r="G241" t="s">
        <v>378</v>
      </c>
      <c r="I241" t="s">
        <v>1666</v>
      </c>
      <c r="J241" s="2">
        <v>30222834</v>
      </c>
      <c r="K241" s="39" t="str">
        <f t="shared" si="12"/>
        <v>SDC210328;RENEWAL</v>
      </c>
      <c r="L241" s="39" t="str">
        <f t="shared" si="13"/>
        <v>OK</v>
      </c>
      <c r="M241" s="39" t="str">
        <f t="shared" si="14"/>
        <v>ERROR</v>
      </c>
      <c r="N241" s="39" t="str">
        <f t="shared" si="15"/>
        <v>OK</v>
      </c>
      <c r="O241" t="s">
        <v>701</v>
      </c>
    </row>
    <row r="242" spans="3:15" x14ac:dyDescent="0.25">
      <c r="C242" s="1">
        <v>42937</v>
      </c>
      <c r="D242" s="5" t="s">
        <v>2</v>
      </c>
      <c r="E242" s="3">
        <v>30223968</v>
      </c>
      <c r="F242" s="4">
        <v>2000</v>
      </c>
      <c r="G242" t="s">
        <v>379</v>
      </c>
      <c r="I242" t="s">
        <v>1667</v>
      </c>
      <c r="J242" s="2" t="s">
        <v>380</v>
      </c>
      <c r="K242" s="39" t="str">
        <f t="shared" si="12"/>
        <v>SDC106559;RENEWAL</v>
      </c>
      <c r="L242" s="39" t="str">
        <f t="shared" si="13"/>
        <v>OK</v>
      </c>
      <c r="M242" s="39" t="str">
        <f t="shared" si="14"/>
        <v>ERROR</v>
      </c>
      <c r="N242" s="39" t="str">
        <f t="shared" si="15"/>
        <v>OK</v>
      </c>
      <c r="O242" t="s">
        <v>697</v>
      </c>
    </row>
    <row r="243" spans="3:15" x14ac:dyDescent="0.25">
      <c r="C243" s="1">
        <v>42937</v>
      </c>
      <c r="D243" s="5" t="s">
        <v>2</v>
      </c>
      <c r="E243" s="3">
        <v>30230989</v>
      </c>
      <c r="F243" s="4">
        <v>2000</v>
      </c>
      <c r="G243" t="s">
        <v>381</v>
      </c>
      <c r="I243" t="s">
        <v>1668</v>
      </c>
      <c r="J243" s="2" t="s">
        <v>382</v>
      </c>
      <c r="K243" s="39" t="str">
        <f t="shared" si="12"/>
        <v>SDC111367;RENEWAL</v>
      </c>
      <c r="L243" s="39" t="str">
        <f t="shared" si="13"/>
        <v>OK</v>
      </c>
      <c r="M243" s="39" t="str">
        <f t="shared" si="14"/>
        <v>ERROR</v>
      </c>
      <c r="N243" s="39" t="str">
        <f t="shared" si="15"/>
        <v>OK</v>
      </c>
      <c r="O243" t="s">
        <v>697</v>
      </c>
    </row>
    <row r="244" spans="3:15" x14ac:dyDescent="0.25">
      <c r="C244" s="1">
        <v>42937</v>
      </c>
      <c r="D244" s="5" t="s">
        <v>2</v>
      </c>
      <c r="E244" s="3">
        <v>30231051</v>
      </c>
      <c r="F244" s="4">
        <v>2750</v>
      </c>
      <c r="G244" t="s">
        <v>383</v>
      </c>
      <c r="I244" t="s">
        <v>1669</v>
      </c>
      <c r="J244" s="2" t="s">
        <v>384</v>
      </c>
      <c r="K244" s="39" t="str">
        <f t="shared" si="12"/>
        <v>SDC115789;RENEWAL</v>
      </c>
      <c r="L244" s="39" t="str">
        <f t="shared" si="13"/>
        <v>OK</v>
      </c>
      <c r="M244" s="39" t="str">
        <f t="shared" si="14"/>
        <v>ERROR</v>
      </c>
      <c r="N244" s="39" t="str">
        <f t="shared" si="15"/>
        <v>OK</v>
      </c>
      <c r="O244" t="s">
        <v>697</v>
      </c>
    </row>
    <row r="245" spans="3:15" x14ac:dyDescent="0.25">
      <c r="C245" s="1">
        <v>42937</v>
      </c>
      <c r="D245" s="5" t="s">
        <v>2</v>
      </c>
      <c r="E245" s="3">
        <v>30232379</v>
      </c>
      <c r="F245" s="4">
        <v>54000</v>
      </c>
      <c r="G245" t="s">
        <v>385</v>
      </c>
      <c r="I245" t="s">
        <v>1670</v>
      </c>
      <c r="J245" s="2" t="s">
        <v>386</v>
      </c>
      <c r="K245" s="39" t="str">
        <f t="shared" si="12"/>
        <v>SDC121336;RENEWAL</v>
      </c>
      <c r="L245" s="39" t="str">
        <f t="shared" si="13"/>
        <v>OK</v>
      </c>
      <c r="M245" s="39" t="str">
        <f t="shared" si="14"/>
        <v>ERROR</v>
      </c>
      <c r="N245" s="39" t="str">
        <f t="shared" si="15"/>
        <v>OK</v>
      </c>
      <c r="O245" t="s">
        <v>697</v>
      </c>
    </row>
    <row r="246" spans="3:15" x14ac:dyDescent="0.25">
      <c r="C246" s="1">
        <v>42937</v>
      </c>
      <c r="D246" s="5" t="s">
        <v>2</v>
      </c>
      <c r="E246" s="3">
        <v>30232441</v>
      </c>
      <c r="F246" s="4">
        <v>54000</v>
      </c>
      <c r="G246" t="s">
        <v>387</v>
      </c>
      <c r="I246" t="s">
        <v>1671</v>
      </c>
      <c r="J246" s="2" t="s">
        <v>388</v>
      </c>
      <c r="K246" s="39" t="str">
        <f t="shared" si="12"/>
        <v>SDC121333;RENEWAL</v>
      </c>
      <c r="L246" s="39" t="str">
        <f t="shared" si="13"/>
        <v>OK</v>
      </c>
      <c r="M246" s="39" t="str">
        <f t="shared" si="14"/>
        <v>ERROR</v>
      </c>
      <c r="N246" s="39" t="str">
        <f t="shared" si="15"/>
        <v>OK</v>
      </c>
      <c r="O246" t="s">
        <v>697</v>
      </c>
    </row>
    <row r="247" spans="3:15" x14ac:dyDescent="0.25">
      <c r="C247" s="1">
        <v>42937</v>
      </c>
      <c r="D247" s="5" t="s">
        <v>2</v>
      </c>
      <c r="E247" s="3">
        <v>30232502</v>
      </c>
      <c r="F247" s="4">
        <v>13194</v>
      </c>
      <c r="G247" t="s">
        <v>389</v>
      </c>
      <c r="I247" t="s">
        <v>1672</v>
      </c>
      <c r="J247" s="2" t="s">
        <v>390</v>
      </c>
      <c r="K247" s="39" t="str">
        <f t="shared" si="12"/>
        <v>SDC125490;RENEWAL</v>
      </c>
      <c r="L247" s="39" t="str">
        <f t="shared" si="13"/>
        <v>OK</v>
      </c>
      <c r="M247" s="39" t="str">
        <f t="shared" si="14"/>
        <v>ERROR</v>
      </c>
      <c r="N247" s="39" t="str">
        <f t="shared" si="15"/>
        <v>OK</v>
      </c>
      <c r="O247" t="s">
        <v>697</v>
      </c>
    </row>
    <row r="248" spans="3:15" x14ac:dyDescent="0.25">
      <c r="C248" s="1">
        <v>42937</v>
      </c>
      <c r="D248" s="5" t="s">
        <v>2</v>
      </c>
      <c r="E248" s="3">
        <v>30232508</v>
      </c>
      <c r="F248" s="4">
        <v>1100</v>
      </c>
      <c r="G248" t="s">
        <v>391</v>
      </c>
      <c r="I248" t="s">
        <v>1673</v>
      </c>
      <c r="J248" s="2" t="s">
        <v>392</v>
      </c>
      <c r="K248" s="39" t="str">
        <f t="shared" si="12"/>
        <v>SDC125588;RENEWAL</v>
      </c>
      <c r="L248" s="39" t="str">
        <f t="shared" si="13"/>
        <v>OK</v>
      </c>
      <c r="M248" s="39" t="str">
        <f t="shared" si="14"/>
        <v>ERROR</v>
      </c>
      <c r="N248" s="39" t="str">
        <f t="shared" si="15"/>
        <v>OK</v>
      </c>
      <c r="O248" t="s">
        <v>697</v>
      </c>
    </row>
    <row r="249" spans="3:15" x14ac:dyDescent="0.25">
      <c r="C249" s="1">
        <v>42937</v>
      </c>
      <c r="D249" s="5" t="s">
        <v>2</v>
      </c>
      <c r="E249" s="3">
        <v>30234349</v>
      </c>
      <c r="F249" s="4">
        <v>2000</v>
      </c>
      <c r="G249" t="s">
        <v>393</v>
      </c>
      <c r="I249" t="s">
        <v>1674</v>
      </c>
      <c r="J249" s="2" t="s">
        <v>394</v>
      </c>
      <c r="K249" s="39" t="str">
        <f t="shared" si="12"/>
        <v>SDC127640;RENEWAL</v>
      </c>
      <c r="L249" s="39" t="str">
        <f t="shared" si="13"/>
        <v>OK</v>
      </c>
      <c r="M249" s="39" t="str">
        <f t="shared" si="14"/>
        <v>ERROR</v>
      </c>
      <c r="N249" s="39" t="str">
        <f t="shared" si="15"/>
        <v>OK</v>
      </c>
      <c r="O249" t="s">
        <v>697</v>
      </c>
    </row>
    <row r="250" spans="3:15" x14ac:dyDescent="0.25">
      <c r="C250" s="1">
        <v>42937</v>
      </c>
      <c r="D250" s="5" t="s">
        <v>2</v>
      </c>
      <c r="E250" s="3">
        <v>30234446</v>
      </c>
      <c r="F250" s="4">
        <v>15000</v>
      </c>
      <c r="G250" t="s">
        <v>395</v>
      </c>
      <c r="I250" t="s">
        <v>1675</v>
      </c>
      <c r="J250" s="2" t="s">
        <v>396</v>
      </c>
      <c r="K250" s="39" t="str">
        <f t="shared" si="12"/>
        <v>SDC130936;RENEWAL</v>
      </c>
      <c r="L250" s="39" t="str">
        <f t="shared" si="13"/>
        <v>OK</v>
      </c>
      <c r="M250" s="39" t="str">
        <f t="shared" si="14"/>
        <v>ERROR</v>
      </c>
      <c r="N250" s="39" t="str">
        <f t="shared" si="15"/>
        <v>OK</v>
      </c>
      <c r="O250" t="s">
        <v>697</v>
      </c>
    </row>
    <row r="251" spans="3:15" x14ac:dyDescent="0.25">
      <c r="C251" s="1">
        <v>42937</v>
      </c>
      <c r="D251" s="5" t="s">
        <v>2</v>
      </c>
      <c r="E251" s="3">
        <v>30235720</v>
      </c>
      <c r="F251" s="4">
        <v>3000</v>
      </c>
      <c r="G251" t="s">
        <v>397</v>
      </c>
      <c r="I251" t="s">
        <v>1677</v>
      </c>
      <c r="J251" s="2" t="s">
        <v>398</v>
      </c>
      <c r="K251" s="39" t="str">
        <f t="shared" si="12"/>
        <v>SDC129142;RENEWAL</v>
      </c>
      <c r="L251" s="39" t="str">
        <f t="shared" si="13"/>
        <v>OK</v>
      </c>
      <c r="M251" s="39" t="str">
        <f t="shared" si="14"/>
        <v>ERROR</v>
      </c>
      <c r="N251" s="39" t="str">
        <f t="shared" si="15"/>
        <v>OK</v>
      </c>
      <c r="O251" t="s">
        <v>697</v>
      </c>
    </row>
    <row r="252" spans="3:15" x14ac:dyDescent="0.25">
      <c r="C252" s="1">
        <v>42937</v>
      </c>
      <c r="D252" s="5" t="s">
        <v>2</v>
      </c>
      <c r="E252" s="3">
        <v>30237907</v>
      </c>
      <c r="F252" s="4">
        <v>2207</v>
      </c>
      <c r="G252" t="s">
        <v>399</v>
      </c>
      <c r="I252" t="s">
        <v>1678</v>
      </c>
      <c r="J252" s="2" t="s">
        <v>400</v>
      </c>
      <c r="K252" s="39" t="str">
        <f t="shared" si="12"/>
        <v>SDC135667;RENEWAL</v>
      </c>
      <c r="L252" s="39" t="str">
        <f t="shared" si="13"/>
        <v>OK</v>
      </c>
      <c r="M252" s="39" t="str">
        <f t="shared" si="14"/>
        <v>ERROR</v>
      </c>
      <c r="N252" s="39" t="str">
        <f t="shared" si="15"/>
        <v>OK</v>
      </c>
      <c r="O252" t="s">
        <v>697</v>
      </c>
    </row>
    <row r="253" spans="3:15" x14ac:dyDescent="0.25">
      <c r="C253" s="1">
        <v>42937</v>
      </c>
      <c r="D253" s="5" t="s">
        <v>2</v>
      </c>
      <c r="E253" s="3">
        <v>30238384</v>
      </c>
      <c r="F253" s="4">
        <v>2646</v>
      </c>
      <c r="G253" t="s">
        <v>401</v>
      </c>
      <c r="I253" t="s">
        <v>1679</v>
      </c>
      <c r="J253" s="2" t="s">
        <v>402</v>
      </c>
      <c r="K253" s="39" t="str">
        <f t="shared" si="12"/>
        <v>SDC105272;RENEWAL</v>
      </c>
      <c r="L253" s="39" t="str">
        <f t="shared" si="13"/>
        <v>OK</v>
      </c>
      <c r="M253" s="39" t="str">
        <f t="shared" si="14"/>
        <v>ERROR</v>
      </c>
      <c r="N253" s="39" t="str">
        <f t="shared" si="15"/>
        <v>OK</v>
      </c>
      <c r="O253" t="s">
        <v>697</v>
      </c>
    </row>
    <row r="254" spans="3:15" x14ac:dyDescent="0.25">
      <c r="C254" s="1">
        <v>42937</v>
      </c>
      <c r="D254" s="5" t="s">
        <v>2</v>
      </c>
      <c r="E254" s="3">
        <v>30238589</v>
      </c>
      <c r="F254" s="4">
        <v>21400</v>
      </c>
      <c r="G254" t="s">
        <v>403</v>
      </c>
      <c r="I254" t="s">
        <v>1680</v>
      </c>
      <c r="J254" s="2">
        <v>30238589</v>
      </c>
      <c r="K254" s="39" t="str">
        <f t="shared" si="12"/>
        <v>SDC162926;RENEWAL</v>
      </c>
      <c r="L254" s="39" t="str">
        <f t="shared" si="13"/>
        <v>OK</v>
      </c>
      <c r="M254" s="39" t="str">
        <f t="shared" si="14"/>
        <v>ERROR</v>
      </c>
      <c r="N254" s="39" t="str">
        <f t="shared" si="15"/>
        <v>OK</v>
      </c>
      <c r="O254" t="s">
        <v>697</v>
      </c>
    </row>
    <row r="255" spans="3:15" x14ac:dyDescent="0.25">
      <c r="C255" s="1">
        <v>42937</v>
      </c>
      <c r="D255" s="5" t="s">
        <v>2</v>
      </c>
      <c r="E255" s="3">
        <v>30238597</v>
      </c>
      <c r="F255" s="4">
        <v>5768</v>
      </c>
      <c r="G255" t="s">
        <v>404</v>
      </c>
      <c r="I255" t="s">
        <v>1681</v>
      </c>
      <c r="J255" s="2" t="s">
        <v>405</v>
      </c>
      <c r="K255" s="39" t="str">
        <f t="shared" si="12"/>
        <v>SDC131077;RENEWAL</v>
      </c>
      <c r="L255" s="39" t="str">
        <f t="shared" si="13"/>
        <v>OK</v>
      </c>
      <c r="M255" s="39" t="str">
        <f t="shared" si="14"/>
        <v>ERROR</v>
      </c>
      <c r="N255" s="39" t="str">
        <f t="shared" si="15"/>
        <v>OK</v>
      </c>
      <c r="O255" t="s">
        <v>697</v>
      </c>
    </row>
    <row r="256" spans="3:15" x14ac:dyDescent="0.25">
      <c r="C256" s="1">
        <v>42937</v>
      </c>
      <c r="D256" s="5" t="s">
        <v>2</v>
      </c>
      <c r="E256" s="3">
        <v>30238617</v>
      </c>
      <c r="F256" s="4">
        <v>5000</v>
      </c>
      <c r="G256" t="s">
        <v>406</v>
      </c>
      <c r="I256" t="s">
        <v>1682</v>
      </c>
      <c r="J256" s="2" t="s">
        <v>407</v>
      </c>
      <c r="K256" s="39" t="str">
        <f t="shared" si="12"/>
        <v>SDC120696;RENEWAL</v>
      </c>
      <c r="L256" s="39" t="str">
        <f t="shared" si="13"/>
        <v>OK</v>
      </c>
      <c r="M256" s="39" t="str">
        <f t="shared" si="14"/>
        <v>ERROR</v>
      </c>
      <c r="N256" s="39" t="str">
        <f t="shared" si="15"/>
        <v>OK</v>
      </c>
      <c r="O256" t="s">
        <v>697</v>
      </c>
    </row>
    <row r="257" spans="3:15" x14ac:dyDescent="0.25">
      <c r="C257" s="1">
        <v>42937</v>
      </c>
      <c r="D257" s="5" t="s">
        <v>2</v>
      </c>
      <c r="E257" s="3">
        <v>30238736</v>
      </c>
      <c r="F257" s="4">
        <v>3195</v>
      </c>
      <c r="G257" t="s">
        <v>408</v>
      </c>
      <c r="I257" t="s">
        <v>1683</v>
      </c>
      <c r="J257" s="2" t="s">
        <v>409</v>
      </c>
      <c r="K257" s="39" t="str">
        <f t="shared" si="12"/>
        <v>SDC111743;RENEWAL</v>
      </c>
      <c r="L257" s="39" t="str">
        <f t="shared" si="13"/>
        <v>OK</v>
      </c>
      <c r="M257" s="39" t="str">
        <f t="shared" si="14"/>
        <v>ERROR</v>
      </c>
      <c r="N257" s="39" t="str">
        <f t="shared" si="15"/>
        <v>OK</v>
      </c>
      <c r="O257" t="s">
        <v>697</v>
      </c>
    </row>
    <row r="258" spans="3:15" x14ac:dyDescent="0.25">
      <c r="C258" s="1">
        <v>42937</v>
      </c>
      <c r="D258" s="5" t="s">
        <v>2</v>
      </c>
      <c r="E258" s="3">
        <v>30239317</v>
      </c>
      <c r="F258" s="4">
        <v>2676</v>
      </c>
      <c r="G258" t="s">
        <v>410</v>
      </c>
      <c r="I258" t="s">
        <v>1684</v>
      </c>
      <c r="J258" s="2" t="s">
        <v>411</v>
      </c>
      <c r="K258" s="39" t="str">
        <f t="shared" si="12"/>
        <v>SDC120660;RENEWAL</v>
      </c>
      <c r="L258" s="39" t="str">
        <f t="shared" si="13"/>
        <v>OK</v>
      </c>
      <c r="M258" s="39" t="str">
        <f t="shared" si="14"/>
        <v>ERROR</v>
      </c>
      <c r="N258" s="39" t="str">
        <f t="shared" si="15"/>
        <v>OK</v>
      </c>
      <c r="O258" t="s">
        <v>697</v>
      </c>
    </row>
    <row r="259" spans="3:15" x14ac:dyDescent="0.25">
      <c r="C259" s="1">
        <v>42937</v>
      </c>
      <c r="D259" s="5" t="s">
        <v>2</v>
      </c>
      <c r="E259" s="3">
        <v>30240429</v>
      </c>
      <c r="F259" s="4">
        <v>3300</v>
      </c>
      <c r="G259" t="s">
        <v>412</v>
      </c>
      <c r="I259" t="s">
        <v>1685</v>
      </c>
      <c r="J259" s="2">
        <v>30240429</v>
      </c>
      <c r="K259" s="39" t="str">
        <f t="shared" ref="K259:K322" si="16">SUBSTITUTE(TRIM(MID(H259,7,4)&amp;G259&amp;";RENEWAL")," ","")</f>
        <v>SDC187517;RENEWAL</v>
      </c>
      <c r="L259" s="39" t="str">
        <f t="shared" ref="L259:L322" si="17">IF(ISERROR(SUBSTITUTE(SUBSTITUTE(K259,LEFT(K259,6),""),RIGHT(SUBSTITUTE(K259,LEFT(K259,6),""),10),"")*1)&amp;" ¦ "&amp;ISERROR(SUBSTITUTE(SUBSTITUTE(K259,LEFT(K259,7),""),RIGHT(SUBSTITUTE(K259,LEFT(K259,7),""),10),"")*1)="TRUE ¦ TRUE","ERROR","OK")</f>
        <v>OK</v>
      </c>
      <c r="M259" s="39" t="str">
        <f t="shared" ref="M259:M322" si="18">IF(ISERROR(LEFT(K259,3)*1)=TRUE,"ERROR","OK")</f>
        <v>ERROR</v>
      </c>
      <c r="N259" s="39" t="str">
        <f t="shared" ref="N259:N322" si="19">IF(RIGHT(K259,8)=";RENEWAL","OK","ERROR")</f>
        <v>OK</v>
      </c>
      <c r="O259" t="s">
        <v>697</v>
      </c>
    </row>
    <row r="260" spans="3:15" x14ac:dyDescent="0.25">
      <c r="C260" s="1">
        <v>42937</v>
      </c>
      <c r="D260" s="5" t="s">
        <v>2</v>
      </c>
      <c r="E260" s="3">
        <v>30240777</v>
      </c>
      <c r="F260" s="4">
        <v>7500</v>
      </c>
      <c r="G260" t="s">
        <v>413</v>
      </c>
      <c r="I260" t="s">
        <v>1686</v>
      </c>
      <c r="J260" s="2">
        <v>30240777</v>
      </c>
      <c r="K260" s="39" t="str">
        <f t="shared" si="16"/>
        <v>SDC187908;RENEWAL</v>
      </c>
      <c r="L260" s="39" t="str">
        <f t="shared" si="17"/>
        <v>OK</v>
      </c>
      <c r="M260" s="39" t="str">
        <f t="shared" si="18"/>
        <v>ERROR</v>
      </c>
      <c r="N260" s="39" t="str">
        <f t="shared" si="19"/>
        <v>OK</v>
      </c>
      <c r="O260" t="s">
        <v>697</v>
      </c>
    </row>
    <row r="261" spans="3:15" x14ac:dyDescent="0.25">
      <c r="C261" s="1">
        <v>42937</v>
      </c>
      <c r="D261" s="5" t="s">
        <v>2</v>
      </c>
      <c r="E261" s="3">
        <v>30242327</v>
      </c>
      <c r="F261" s="4">
        <v>2145</v>
      </c>
      <c r="G261" t="s">
        <v>414</v>
      </c>
      <c r="I261" t="s">
        <v>1688</v>
      </c>
      <c r="J261" s="2" t="s">
        <v>415</v>
      </c>
      <c r="K261" s="39" t="str">
        <f t="shared" si="16"/>
        <v>SDC131441;RENEWAL</v>
      </c>
      <c r="L261" s="39" t="str">
        <f t="shared" si="17"/>
        <v>OK</v>
      </c>
      <c r="M261" s="39" t="str">
        <f t="shared" si="18"/>
        <v>ERROR</v>
      </c>
      <c r="N261" s="39" t="str">
        <f t="shared" si="19"/>
        <v>OK</v>
      </c>
      <c r="O261" t="s">
        <v>697</v>
      </c>
    </row>
    <row r="262" spans="3:15" x14ac:dyDescent="0.25">
      <c r="C262" s="1">
        <v>42937</v>
      </c>
      <c r="D262" s="5" t="s">
        <v>2</v>
      </c>
      <c r="E262" s="3">
        <v>30243607</v>
      </c>
      <c r="F262" s="4">
        <v>2678</v>
      </c>
      <c r="G262" t="s">
        <v>416</v>
      </c>
      <c r="I262" t="s">
        <v>1689</v>
      </c>
      <c r="J262" s="2" t="s">
        <v>417</v>
      </c>
      <c r="K262" s="39" t="str">
        <f t="shared" si="16"/>
        <v>SDC110702;RENEWAL</v>
      </c>
      <c r="L262" s="39" t="str">
        <f t="shared" si="17"/>
        <v>OK</v>
      </c>
      <c r="M262" s="39" t="str">
        <f t="shared" si="18"/>
        <v>ERROR</v>
      </c>
      <c r="N262" s="39" t="str">
        <f t="shared" si="19"/>
        <v>OK</v>
      </c>
      <c r="O262" t="s">
        <v>697</v>
      </c>
    </row>
    <row r="263" spans="3:15" x14ac:dyDescent="0.25">
      <c r="C263" s="1">
        <v>42937</v>
      </c>
      <c r="D263" s="5" t="s">
        <v>2</v>
      </c>
      <c r="E263" s="3">
        <v>30244207</v>
      </c>
      <c r="F263" s="4">
        <v>5000</v>
      </c>
      <c r="G263" t="s">
        <v>418</v>
      </c>
      <c r="I263" t="s">
        <v>1690</v>
      </c>
      <c r="J263" s="2" t="s">
        <v>419</v>
      </c>
      <c r="K263" s="39" t="str">
        <f t="shared" si="16"/>
        <v>SDC122819;RENEWAL</v>
      </c>
      <c r="L263" s="39" t="str">
        <f t="shared" si="17"/>
        <v>OK</v>
      </c>
      <c r="M263" s="39" t="str">
        <f t="shared" si="18"/>
        <v>ERROR</v>
      </c>
      <c r="N263" s="39" t="str">
        <f t="shared" si="19"/>
        <v>OK</v>
      </c>
      <c r="O263" t="s">
        <v>697</v>
      </c>
    </row>
    <row r="264" spans="3:15" x14ac:dyDescent="0.25">
      <c r="C264" s="1">
        <v>42937</v>
      </c>
      <c r="D264" s="5" t="s">
        <v>136</v>
      </c>
      <c r="E264" s="3">
        <v>30244933</v>
      </c>
      <c r="F264" s="4">
        <v>2000</v>
      </c>
      <c r="G264" t="s">
        <v>420</v>
      </c>
      <c r="I264" t="s">
        <v>1691</v>
      </c>
      <c r="J264" s="2">
        <v>30244933</v>
      </c>
      <c r="K264" s="39" t="str">
        <f t="shared" si="16"/>
        <v>SDC163041;RENEWAL</v>
      </c>
      <c r="L264" s="39" t="str">
        <f t="shared" si="17"/>
        <v>OK</v>
      </c>
      <c r="M264" s="39" t="str">
        <f t="shared" si="18"/>
        <v>ERROR</v>
      </c>
      <c r="N264" s="39" t="str">
        <f t="shared" si="19"/>
        <v>OK</v>
      </c>
      <c r="O264" t="s">
        <v>701</v>
      </c>
    </row>
    <row r="265" spans="3:15" x14ac:dyDescent="0.25">
      <c r="C265" s="1">
        <v>42937</v>
      </c>
      <c r="D265" s="5" t="s">
        <v>2</v>
      </c>
      <c r="E265" s="3">
        <v>30245992</v>
      </c>
      <c r="F265" s="4">
        <v>2168</v>
      </c>
      <c r="G265" t="s">
        <v>421</v>
      </c>
      <c r="I265" t="s">
        <v>1692</v>
      </c>
      <c r="J265" s="2" t="s">
        <v>422</v>
      </c>
      <c r="K265" s="39" t="str">
        <f t="shared" si="16"/>
        <v>SDC124650;RENEWAL</v>
      </c>
      <c r="L265" s="39" t="str">
        <f t="shared" si="17"/>
        <v>OK</v>
      </c>
      <c r="M265" s="39" t="str">
        <f t="shared" si="18"/>
        <v>ERROR</v>
      </c>
      <c r="N265" s="39" t="str">
        <f t="shared" si="19"/>
        <v>OK</v>
      </c>
      <c r="O265" t="s">
        <v>697</v>
      </c>
    </row>
    <row r="266" spans="3:15" x14ac:dyDescent="0.25">
      <c r="C266" s="1">
        <v>42937</v>
      </c>
      <c r="D266" s="5" t="s">
        <v>2</v>
      </c>
      <c r="E266" s="3">
        <v>30246605</v>
      </c>
      <c r="F266" s="4">
        <v>2150</v>
      </c>
      <c r="G266" t="s">
        <v>423</v>
      </c>
      <c r="I266" t="s">
        <v>1693</v>
      </c>
      <c r="J266" s="2">
        <v>30246605</v>
      </c>
      <c r="K266" s="39" t="str">
        <f t="shared" si="16"/>
        <v>SDC178773;RENEWAL</v>
      </c>
      <c r="L266" s="39" t="str">
        <f t="shared" si="17"/>
        <v>OK</v>
      </c>
      <c r="M266" s="39" t="str">
        <f t="shared" si="18"/>
        <v>ERROR</v>
      </c>
      <c r="N266" s="39" t="str">
        <f t="shared" si="19"/>
        <v>OK</v>
      </c>
      <c r="O266" t="s">
        <v>697</v>
      </c>
    </row>
    <row r="267" spans="3:15" x14ac:dyDescent="0.25">
      <c r="C267" s="1">
        <v>42937</v>
      </c>
      <c r="D267" s="5" t="s">
        <v>2</v>
      </c>
      <c r="E267" s="3">
        <v>30249193</v>
      </c>
      <c r="F267" s="4">
        <v>17702</v>
      </c>
      <c r="G267" t="s">
        <v>424</v>
      </c>
      <c r="I267" t="s">
        <v>1694</v>
      </c>
      <c r="J267" s="2" t="s">
        <v>425</v>
      </c>
      <c r="K267" s="39" t="str">
        <f t="shared" si="16"/>
        <v>SDC121971;RENEWAL</v>
      </c>
      <c r="L267" s="39" t="str">
        <f t="shared" si="17"/>
        <v>OK</v>
      </c>
      <c r="M267" s="39" t="str">
        <f t="shared" si="18"/>
        <v>ERROR</v>
      </c>
      <c r="N267" s="39" t="str">
        <f t="shared" si="19"/>
        <v>OK</v>
      </c>
      <c r="O267" t="s">
        <v>697</v>
      </c>
    </row>
    <row r="268" spans="3:15" x14ac:dyDescent="0.25">
      <c r="C268" s="1">
        <v>42937</v>
      </c>
      <c r="D268" s="5" t="s">
        <v>2</v>
      </c>
      <c r="E268" s="3">
        <v>30252082</v>
      </c>
      <c r="F268" s="4">
        <v>4393</v>
      </c>
      <c r="G268" t="s">
        <v>426</v>
      </c>
      <c r="I268" t="s">
        <v>1695</v>
      </c>
      <c r="J268" s="2" t="s">
        <v>427</v>
      </c>
      <c r="K268" s="39" t="str">
        <f t="shared" si="16"/>
        <v>SDC116530;RENEWAL</v>
      </c>
      <c r="L268" s="39" t="str">
        <f t="shared" si="17"/>
        <v>OK</v>
      </c>
      <c r="M268" s="39" t="str">
        <f t="shared" si="18"/>
        <v>ERROR</v>
      </c>
      <c r="N268" s="39" t="str">
        <f t="shared" si="19"/>
        <v>OK</v>
      </c>
      <c r="O268" t="s">
        <v>697</v>
      </c>
    </row>
    <row r="269" spans="3:15" x14ac:dyDescent="0.25">
      <c r="C269" s="1">
        <v>42937</v>
      </c>
      <c r="D269" s="5" t="s">
        <v>2</v>
      </c>
      <c r="E269" s="3">
        <v>30252082</v>
      </c>
      <c r="F269" s="4">
        <v>4393</v>
      </c>
      <c r="G269" t="s">
        <v>428</v>
      </c>
      <c r="I269" t="s">
        <v>1695</v>
      </c>
      <c r="J269" s="2" t="s">
        <v>427</v>
      </c>
      <c r="K269" s="39" t="str">
        <f t="shared" si="16"/>
        <v>SDC116472;RENEWAL</v>
      </c>
      <c r="L269" s="39" t="str">
        <f t="shared" si="17"/>
        <v>OK</v>
      </c>
      <c r="M269" s="39" t="str">
        <f t="shared" si="18"/>
        <v>ERROR</v>
      </c>
      <c r="N269" s="39" t="str">
        <f t="shared" si="19"/>
        <v>OK</v>
      </c>
      <c r="O269" t="s">
        <v>697</v>
      </c>
    </row>
    <row r="270" spans="3:15" x14ac:dyDescent="0.25">
      <c r="C270" s="1">
        <v>42937</v>
      </c>
      <c r="D270" s="5" t="s">
        <v>2</v>
      </c>
      <c r="E270" s="3">
        <v>30253025</v>
      </c>
      <c r="F270" s="4">
        <v>1100</v>
      </c>
      <c r="G270" t="s">
        <v>429</v>
      </c>
      <c r="I270" t="s">
        <v>1697</v>
      </c>
      <c r="J270" s="2" t="s">
        <v>430</v>
      </c>
      <c r="K270" s="39" t="str">
        <f t="shared" si="16"/>
        <v>SDC125240;RENEWAL</v>
      </c>
      <c r="L270" s="39" t="str">
        <f t="shared" si="17"/>
        <v>OK</v>
      </c>
      <c r="M270" s="39" t="str">
        <f t="shared" si="18"/>
        <v>ERROR</v>
      </c>
      <c r="N270" s="39" t="str">
        <f t="shared" si="19"/>
        <v>OK</v>
      </c>
      <c r="O270" t="s">
        <v>697</v>
      </c>
    </row>
    <row r="271" spans="3:15" x14ac:dyDescent="0.25">
      <c r="C271" s="1">
        <v>42937</v>
      </c>
      <c r="D271" s="5" t="s">
        <v>2</v>
      </c>
      <c r="E271" s="3">
        <v>30253148</v>
      </c>
      <c r="F271" s="4">
        <v>1116</v>
      </c>
      <c r="G271" t="s">
        <v>431</v>
      </c>
      <c r="I271" t="s">
        <v>1699</v>
      </c>
      <c r="J271" s="2" t="s">
        <v>432</v>
      </c>
      <c r="K271" s="39" t="str">
        <f t="shared" si="16"/>
        <v>SDC110413;RENEWAL</v>
      </c>
      <c r="L271" s="39" t="str">
        <f t="shared" si="17"/>
        <v>OK</v>
      </c>
      <c r="M271" s="39" t="str">
        <f t="shared" si="18"/>
        <v>ERROR</v>
      </c>
      <c r="N271" s="39" t="str">
        <f t="shared" si="19"/>
        <v>OK</v>
      </c>
      <c r="O271" t="s">
        <v>697</v>
      </c>
    </row>
    <row r="272" spans="3:15" x14ac:dyDescent="0.25">
      <c r="C272" s="1">
        <v>42937</v>
      </c>
      <c r="D272" s="5" t="s">
        <v>2</v>
      </c>
      <c r="E272" s="3">
        <v>30255441</v>
      </c>
      <c r="F272" s="4">
        <v>3000</v>
      </c>
      <c r="G272" t="s">
        <v>433</v>
      </c>
      <c r="I272" t="s">
        <v>1700</v>
      </c>
      <c r="J272" s="2" t="s">
        <v>434</v>
      </c>
      <c r="K272" s="39" t="str">
        <f t="shared" si="16"/>
        <v>SDC123592;RENEWAL</v>
      </c>
      <c r="L272" s="39" t="str">
        <f t="shared" si="17"/>
        <v>OK</v>
      </c>
      <c r="M272" s="39" t="str">
        <f t="shared" si="18"/>
        <v>ERROR</v>
      </c>
      <c r="N272" s="39" t="str">
        <f t="shared" si="19"/>
        <v>OK</v>
      </c>
      <c r="O272" t="s">
        <v>697</v>
      </c>
    </row>
    <row r="273" spans="3:15" x14ac:dyDescent="0.25">
      <c r="C273" s="1">
        <v>42937</v>
      </c>
      <c r="D273" s="5" t="s">
        <v>2</v>
      </c>
      <c r="E273" s="3">
        <v>30255660</v>
      </c>
      <c r="F273" s="4">
        <v>18000</v>
      </c>
      <c r="G273" t="s">
        <v>435</v>
      </c>
      <c r="I273" t="s">
        <v>1701</v>
      </c>
      <c r="J273" s="2" t="s">
        <v>436</v>
      </c>
      <c r="K273" s="39" t="str">
        <f t="shared" si="16"/>
        <v>SDC130089;RENEWAL</v>
      </c>
      <c r="L273" s="39" t="str">
        <f t="shared" si="17"/>
        <v>OK</v>
      </c>
      <c r="M273" s="39" t="str">
        <f t="shared" si="18"/>
        <v>ERROR</v>
      </c>
      <c r="N273" s="39" t="str">
        <f t="shared" si="19"/>
        <v>OK</v>
      </c>
      <c r="O273" t="s">
        <v>697</v>
      </c>
    </row>
    <row r="274" spans="3:15" x14ac:dyDescent="0.25">
      <c r="C274" s="1">
        <v>42937</v>
      </c>
      <c r="D274" s="5" t="s">
        <v>2</v>
      </c>
      <c r="E274" s="3">
        <v>30255759</v>
      </c>
      <c r="F274" s="4">
        <v>75313</v>
      </c>
      <c r="G274" t="s">
        <v>437</v>
      </c>
      <c r="I274" t="s">
        <v>1702</v>
      </c>
      <c r="J274" s="2" t="s">
        <v>438</v>
      </c>
      <c r="K274" s="39" t="str">
        <f t="shared" si="16"/>
        <v>SDC124041;RENEWAL</v>
      </c>
      <c r="L274" s="39" t="str">
        <f t="shared" si="17"/>
        <v>OK</v>
      </c>
      <c r="M274" s="39" t="str">
        <f t="shared" si="18"/>
        <v>ERROR</v>
      </c>
      <c r="N274" s="39" t="str">
        <f t="shared" si="19"/>
        <v>OK</v>
      </c>
      <c r="O274" t="s">
        <v>697</v>
      </c>
    </row>
    <row r="275" spans="3:15" x14ac:dyDescent="0.25">
      <c r="C275" s="1">
        <v>42937</v>
      </c>
      <c r="D275" s="5" t="s">
        <v>2</v>
      </c>
      <c r="E275" s="3">
        <v>30255762</v>
      </c>
      <c r="F275" s="4">
        <v>3300</v>
      </c>
      <c r="G275" t="s">
        <v>439</v>
      </c>
      <c r="I275" t="s">
        <v>1703</v>
      </c>
      <c r="J275" s="2" t="s">
        <v>440</v>
      </c>
      <c r="K275" s="39" t="str">
        <f t="shared" si="16"/>
        <v>SDC125543;RENEWAL</v>
      </c>
      <c r="L275" s="39" t="str">
        <f t="shared" si="17"/>
        <v>OK</v>
      </c>
      <c r="M275" s="39" t="str">
        <f t="shared" si="18"/>
        <v>ERROR</v>
      </c>
      <c r="N275" s="39" t="str">
        <f t="shared" si="19"/>
        <v>OK</v>
      </c>
      <c r="O275" t="s">
        <v>697</v>
      </c>
    </row>
    <row r="276" spans="3:15" x14ac:dyDescent="0.25">
      <c r="C276" s="1">
        <v>42937</v>
      </c>
      <c r="D276" s="5" t="s">
        <v>2</v>
      </c>
      <c r="E276" s="3">
        <v>30256008</v>
      </c>
      <c r="F276" s="4">
        <v>2170</v>
      </c>
      <c r="G276" t="s">
        <v>441</v>
      </c>
      <c r="I276" t="s">
        <v>1704</v>
      </c>
      <c r="J276" s="2" t="s">
        <v>442</v>
      </c>
      <c r="K276" s="39" t="str">
        <f t="shared" si="16"/>
        <v>SDC124748;RENEWAL</v>
      </c>
      <c r="L276" s="39" t="str">
        <f t="shared" si="17"/>
        <v>OK</v>
      </c>
      <c r="M276" s="39" t="str">
        <f t="shared" si="18"/>
        <v>ERROR</v>
      </c>
      <c r="N276" s="39" t="str">
        <f t="shared" si="19"/>
        <v>OK</v>
      </c>
      <c r="O276" t="s">
        <v>697</v>
      </c>
    </row>
    <row r="277" spans="3:15" x14ac:dyDescent="0.25">
      <c r="C277" s="1">
        <v>42937</v>
      </c>
      <c r="D277" s="5" t="s">
        <v>2</v>
      </c>
      <c r="E277" s="3">
        <v>30257781</v>
      </c>
      <c r="F277" s="4">
        <v>3000</v>
      </c>
      <c r="G277" t="s">
        <v>443</v>
      </c>
      <c r="I277" t="s">
        <v>1705</v>
      </c>
      <c r="J277" s="2" t="s">
        <v>444</v>
      </c>
      <c r="K277" s="39" t="str">
        <f t="shared" si="16"/>
        <v>SDC132487;RENEWAL</v>
      </c>
      <c r="L277" s="39" t="str">
        <f t="shared" si="17"/>
        <v>OK</v>
      </c>
      <c r="M277" s="39" t="str">
        <f t="shared" si="18"/>
        <v>ERROR</v>
      </c>
      <c r="N277" s="39" t="str">
        <f t="shared" si="19"/>
        <v>OK</v>
      </c>
      <c r="O277" t="s">
        <v>697</v>
      </c>
    </row>
    <row r="278" spans="3:15" x14ac:dyDescent="0.25">
      <c r="C278" s="1">
        <v>42937</v>
      </c>
      <c r="D278" s="5" t="s">
        <v>2</v>
      </c>
      <c r="E278" s="3">
        <v>30258298</v>
      </c>
      <c r="F278" s="4">
        <v>5029</v>
      </c>
      <c r="G278" t="s">
        <v>445</v>
      </c>
      <c r="I278" t="s">
        <v>1706</v>
      </c>
      <c r="J278" s="2" t="s">
        <v>446</v>
      </c>
      <c r="K278" s="39" t="str">
        <f t="shared" si="16"/>
        <v>SDC109479;RENEWAL</v>
      </c>
      <c r="L278" s="39" t="str">
        <f t="shared" si="17"/>
        <v>OK</v>
      </c>
      <c r="M278" s="39" t="str">
        <f t="shared" si="18"/>
        <v>ERROR</v>
      </c>
      <c r="N278" s="39" t="str">
        <f t="shared" si="19"/>
        <v>OK</v>
      </c>
      <c r="O278" t="s">
        <v>697</v>
      </c>
    </row>
    <row r="279" spans="3:15" x14ac:dyDescent="0.25">
      <c r="C279" s="1">
        <v>42937</v>
      </c>
      <c r="D279" s="5" t="s">
        <v>2</v>
      </c>
      <c r="E279" s="3">
        <v>30260265</v>
      </c>
      <c r="F279" s="4">
        <v>2559</v>
      </c>
      <c r="G279" t="s">
        <v>447</v>
      </c>
      <c r="I279" t="s">
        <v>1707</v>
      </c>
      <c r="J279" s="2" t="s">
        <v>448</v>
      </c>
      <c r="K279" s="39" t="str">
        <f t="shared" si="16"/>
        <v>SDC131523;RENEWAL</v>
      </c>
      <c r="L279" s="39" t="str">
        <f t="shared" si="17"/>
        <v>OK</v>
      </c>
      <c r="M279" s="39" t="str">
        <f t="shared" si="18"/>
        <v>ERROR</v>
      </c>
      <c r="N279" s="39" t="str">
        <f t="shared" si="19"/>
        <v>OK</v>
      </c>
      <c r="O279" t="s">
        <v>697</v>
      </c>
    </row>
    <row r="280" spans="3:15" x14ac:dyDescent="0.25">
      <c r="C280" s="1">
        <v>42937</v>
      </c>
      <c r="D280" s="5" t="s">
        <v>2</v>
      </c>
      <c r="E280" s="3">
        <v>30262992</v>
      </c>
      <c r="F280" s="4">
        <v>11679</v>
      </c>
      <c r="G280" t="s">
        <v>449</v>
      </c>
      <c r="I280" t="s">
        <v>1708</v>
      </c>
      <c r="J280" s="2" t="s">
        <v>450</v>
      </c>
      <c r="K280" s="39" t="str">
        <f t="shared" si="16"/>
        <v>SDC131491;RENEWAL</v>
      </c>
      <c r="L280" s="39" t="str">
        <f t="shared" si="17"/>
        <v>OK</v>
      </c>
      <c r="M280" s="39" t="str">
        <f t="shared" si="18"/>
        <v>ERROR</v>
      </c>
      <c r="N280" s="39" t="str">
        <f t="shared" si="19"/>
        <v>OK</v>
      </c>
      <c r="O280" t="s">
        <v>697</v>
      </c>
    </row>
    <row r="281" spans="3:15" x14ac:dyDescent="0.25">
      <c r="C281" s="1">
        <v>42937</v>
      </c>
      <c r="D281" s="5" t="s">
        <v>2</v>
      </c>
      <c r="E281" s="3">
        <v>30263675</v>
      </c>
      <c r="F281" s="4">
        <v>5000</v>
      </c>
      <c r="G281" t="s">
        <v>451</v>
      </c>
      <c r="I281" t="s">
        <v>1710</v>
      </c>
      <c r="J281" s="2" t="s">
        <v>452</v>
      </c>
      <c r="K281" s="39" t="str">
        <f t="shared" si="16"/>
        <v>SDC130733;RENEWAL</v>
      </c>
      <c r="L281" s="39" t="str">
        <f t="shared" si="17"/>
        <v>OK</v>
      </c>
      <c r="M281" s="39" t="str">
        <f t="shared" si="18"/>
        <v>ERROR</v>
      </c>
      <c r="N281" s="39" t="str">
        <f t="shared" si="19"/>
        <v>OK</v>
      </c>
      <c r="O281" t="s">
        <v>697</v>
      </c>
    </row>
    <row r="282" spans="3:15" x14ac:dyDescent="0.25">
      <c r="C282" s="1">
        <v>42937</v>
      </c>
      <c r="D282" s="5" t="s">
        <v>2</v>
      </c>
      <c r="E282" s="3">
        <v>30264259</v>
      </c>
      <c r="F282" s="4">
        <v>3841</v>
      </c>
      <c r="G282" t="s">
        <v>453</v>
      </c>
      <c r="I282" t="s">
        <v>1711</v>
      </c>
      <c r="J282" s="2" t="s">
        <v>454</v>
      </c>
      <c r="K282" s="39" t="str">
        <f t="shared" si="16"/>
        <v>SDC115631;RENEWAL</v>
      </c>
      <c r="L282" s="39" t="str">
        <f t="shared" si="17"/>
        <v>OK</v>
      </c>
      <c r="M282" s="39" t="str">
        <f t="shared" si="18"/>
        <v>ERROR</v>
      </c>
      <c r="N282" s="39" t="str">
        <f t="shared" si="19"/>
        <v>OK</v>
      </c>
      <c r="O282" t="s">
        <v>697</v>
      </c>
    </row>
    <row r="283" spans="3:15" x14ac:dyDescent="0.25">
      <c r="C283" s="1">
        <v>42937</v>
      </c>
      <c r="D283" s="5" t="s">
        <v>2</v>
      </c>
      <c r="E283" s="3">
        <v>30264594</v>
      </c>
      <c r="F283" s="4">
        <v>5000</v>
      </c>
      <c r="G283" t="s">
        <v>455</v>
      </c>
      <c r="I283" t="s">
        <v>1712</v>
      </c>
      <c r="J283" s="2" t="s">
        <v>456</v>
      </c>
      <c r="K283" s="39" t="str">
        <f t="shared" si="16"/>
        <v>SDC130692;RENEWAL</v>
      </c>
      <c r="L283" s="39" t="str">
        <f t="shared" si="17"/>
        <v>OK</v>
      </c>
      <c r="M283" s="39" t="str">
        <f t="shared" si="18"/>
        <v>ERROR</v>
      </c>
      <c r="N283" s="39" t="str">
        <f t="shared" si="19"/>
        <v>OK</v>
      </c>
      <c r="O283" t="s">
        <v>697</v>
      </c>
    </row>
    <row r="284" spans="3:15" x14ac:dyDescent="0.25">
      <c r="C284" s="1">
        <v>42937</v>
      </c>
      <c r="D284" s="5" t="s">
        <v>2</v>
      </c>
      <c r="E284" s="3">
        <v>30265471</v>
      </c>
      <c r="F284" s="4">
        <v>2000</v>
      </c>
      <c r="G284" t="s">
        <v>457</v>
      </c>
      <c r="I284" t="s">
        <v>1713</v>
      </c>
      <c r="J284" s="2" t="s">
        <v>458</v>
      </c>
      <c r="K284" s="39" t="str">
        <f t="shared" si="16"/>
        <v>SDC112919;RENEWAL</v>
      </c>
      <c r="L284" s="39" t="str">
        <f t="shared" si="17"/>
        <v>OK</v>
      </c>
      <c r="M284" s="39" t="str">
        <f t="shared" si="18"/>
        <v>ERROR</v>
      </c>
      <c r="N284" s="39" t="str">
        <f t="shared" si="19"/>
        <v>OK</v>
      </c>
      <c r="O284" t="s">
        <v>697</v>
      </c>
    </row>
    <row r="285" spans="3:15" x14ac:dyDescent="0.25">
      <c r="C285" s="1">
        <v>42937</v>
      </c>
      <c r="D285" s="5" t="s">
        <v>2</v>
      </c>
      <c r="E285" s="3">
        <v>30266087</v>
      </c>
      <c r="F285" s="4">
        <v>3040</v>
      </c>
      <c r="G285" t="s">
        <v>459</v>
      </c>
      <c r="I285" t="s">
        <v>1714</v>
      </c>
      <c r="J285" s="2" t="s">
        <v>460</v>
      </c>
      <c r="K285" s="39" t="str">
        <f t="shared" si="16"/>
        <v>SDC110204;RENEWAL</v>
      </c>
      <c r="L285" s="39" t="str">
        <f t="shared" si="17"/>
        <v>OK</v>
      </c>
      <c r="M285" s="39" t="str">
        <f t="shared" si="18"/>
        <v>ERROR</v>
      </c>
      <c r="N285" s="39" t="str">
        <f t="shared" si="19"/>
        <v>OK</v>
      </c>
      <c r="O285" t="s">
        <v>697</v>
      </c>
    </row>
    <row r="286" spans="3:15" x14ac:dyDescent="0.25">
      <c r="C286" s="1">
        <v>42937</v>
      </c>
      <c r="D286" s="5" t="s">
        <v>2</v>
      </c>
      <c r="E286" s="3">
        <v>30266089</v>
      </c>
      <c r="F286" s="4">
        <v>10292</v>
      </c>
      <c r="G286" t="s">
        <v>461</v>
      </c>
      <c r="I286" t="s">
        <v>1715</v>
      </c>
      <c r="J286" s="2" t="s">
        <v>462</v>
      </c>
      <c r="K286" s="39" t="str">
        <f t="shared" si="16"/>
        <v>SDC110433;RENEWAL</v>
      </c>
      <c r="L286" s="39" t="str">
        <f t="shared" si="17"/>
        <v>OK</v>
      </c>
      <c r="M286" s="39" t="str">
        <f t="shared" si="18"/>
        <v>ERROR</v>
      </c>
      <c r="N286" s="39" t="str">
        <f t="shared" si="19"/>
        <v>OK</v>
      </c>
      <c r="O286" t="s">
        <v>697</v>
      </c>
    </row>
    <row r="287" spans="3:15" x14ac:dyDescent="0.25">
      <c r="C287" s="1">
        <v>42937</v>
      </c>
      <c r="D287" s="5" t="s">
        <v>2</v>
      </c>
      <c r="E287" s="3">
        <v>30270918</v>
      </c>
      <c r="F287" s="4">
        <v>2977</v>
      </c>
      <c r="G287" t="s">
        <v>463</v>
      </c>
      <c r="I287" t="s">
        <v>1716</v>
      </c>
      <c r="J287" s="2" t="s">
        <v>464</v>
      </c>
      <c r="K287" s="39" t="str">
        <f t="shared" si="16"/>
        <v>SDC130017;RENEWAL</v>
      </c>
      <c r="L287" s="39" t="str">
        <f t="shared" si="17"/>
        <v>OK</v>
      </c>
      <c r="M287" s="39" t="str">
        <f t="shared" si="18"/>
        <v>ERROR</v>
      </c>
      <c r="N287" s="39" t="str">
        <f t="shared" si="19"/>
        <v>OK</v>
      </c>
      <c r="O287" t="s">
        <v>697</v>
      </c>
    </row>
    <row r="288" spans="3:15" x14ac:dyDescent="0.25">
      <c r="C288" s="1">
        <v>42937</v>
      </c>
      <c r="D288" s="5" t="s">
        <v>2</v>
      </c>
      <c r="E288" s="3">
        <v>30278833</v>
      </c>
      <c r="F288" s="4">
        <v>3000</v>
      </c>
      <c r="G288" t="s">
        <v>465</v>
      </c>
      <c r="I288" t="s">
        <v>1717</v>
      </c>
      <c r="J288" s="2">
        <v>30278833</v>
      </c>
      <c r="K288" s="39" t="str">
        <f t="shared" si="16"/>
        <v>SDC203568;RENEWAL</v>
      </c>
      <c r="L288" s="39" t="str">
        <f t="shared" si="17"/>
        <v>OK</v>
      </c>
      <c r="M288" s="39" t="str">
        <f t="shared" si="18"/>
        <v>ERROR</v>
      </c>
      <c r="N288" s="39" t="str">
        <f t="shared" si="19"/>
        <v>OK</v>
      </c>
      <c r="O288" t="s">
        <v>697</v>
      </c>
    </row>
    <row r="289" spans="3:15" x14ac:dyDescent="0.25">
      <c r="C289" s="1">
        <v>42937</v>
      </c>
      <c r="D289" s="5" t="s">
        <v>136</v>
      </c>
      <c r="E289" s="3">
        <v>30279546</v>
      </c>
      <c r="F289" s="4">
        <v>75665</v>
      </c>
      <c r="G289" t="s">
        <v>466</v>
      </c>
      <c r="I289" t="s">
        <v>1718</v>
      </c>
      <c r="J289" s="2">
        <v>30279546</v>
      </c>
      <c r="K289" s="39" t="str">
        <f t="shared" si="16"/>
        <v>SDC178037;RENEWAL</v>
      </c>
      <c r="L289" s="39" t="str">
        <f t="shared" si="17"/>
        <v>OK</v>
      </c>
      <c r="M289" s="39" t="str">
        <f t="shared" si="18"/>
        <v>ERROR</v>
      </c>
      <c r="N289" s="39" t="str">
        <f t="shared" si="19"/>
        <v>OK</v>
      </c>
      <c r="O289" t="s">
        <v>701</v>
      </c>
    </row>
    <row r="290" spans="3:15" x14ac:dyDescent="0.25">
      <c r="C290" s="1">
        <v>42937</v>
      </c>
      <c r="D290" s="5" t="s">
        <v>2</v>
      </c>
      <c r="E290" s="3">
        <v>30281947</v>
      </c>
      <c r="F290" s="4">
        <v>3845</v>
      </c>
      <c r="G290" t="s">
        <v>467</v>
      </c>
      <c r="I290" t="s">
        <v>1719</v>
      </c>
      <c r="J290" s="2" t="s">
        <v>468</v>
      </c>
      <c r="K290" s="39" t="str">
        <f t="shared" si="16"/>
        <v>SDC124236;RENEWAL</v>
      </c>
      <c r="L290" s="39" t="str">
        <f t="shared" si="17"/>
        <v>OK</v>
      </c>
      <c r="M290" s="39" t="str">
        <f t="shared" si="18"/>
        <v>ERROR</v>
      </c>
      <c r="N290" s="39" t="str">
        <f t="shared" si="19"/>
        <v>OK</v>
      </c>
      <c r="O290" t="s">
        <v>697</v>
      </c>
    </row>
    <row r="291" spans="3:15" x14ac:dyDescent="0.25">
      <c r="C291" s="1">
        <v>42937</v>
      </c>
      <c r="D291" s="5" t="s">
        <v>2</v>
      </c>
      <c r="E291" s="3">
        <v>30284193</v>
      </c>
      <c r="F291" s="4">
        <v>2448</v>
      </c>
      <c r="G291" t="s">
        <v>469</v>
      </c>
      <c r="I291" t="s">
        <v>1721</v>
      </c>
      <c r="J291" s="2" t="s">
        <v>470</v>
      </c>
      <c r="K291" s="39" t="str">
        <f t="shared" si="16"/>
        <v>SDC108380;RENEWAL</v>
      </c>
      <c r="L291" s="39" t="str">
        <f t="shared" si="17"/>
        <v>OK</v>
      </c>
      <c r="M291" s="39" t="str">
        <f t="shared" si="18"/>
        <v>ERROR</v>
      </c>
      <c r="N291" s="39" t="str">
        <f t="shared" si="19"/>
        <v>OK</v>
      </c>
      <c r="O291" t="s">
        <v>697</v>
      </c>
    </row>
    <row r="292" spans="3:15" x14ac:dyDescent="0.25">
      <c r="C292" s="1">
        <v>42937</v>
      </c>
      <c r="D292" s="5" t="s">
        <v>2</v>
      </c>
      <c r="E292" s="3">
        <v>30284204</v>
      </c>
      <c r="F292" s="4">
        <v>5774</v>
      </c>
      <c r="G292" t="s">
        <v>471</v>
      </c>
      <c r="I292" t="s">
        <v>1722</v>
      </c>
      <c r="J292" s="2" t="s">
        <v>472</v>
      </c>
      <c r="K292" s="39" t="str">
        <f t="shared" si="16"/>
        <v>SDC124164;RENEWAL</v>
      </c>
      <c r="L292" s="39" t="str">
        <f t="shared" si="17"/>
        <v>OK</v>
      </c>
      <c r="M292" s="39" t="str">
        <f t="shared" si="18"/>
        <v>ERROR</v>
      </c>
      <c r="N292" s="39" t="str">
        <f t="shared" si="19"/>
        <v>OK</v>
      </c>
      <c r="O292" t="s">
        <v>697</v>
      </c>
    </row>
    <row r="293" spans="3:15" x14ac:dyDescent="0.25">
      <c r="C293" s="1">
        <v>42937</v>
      </c>
      <c r="D293" s="5" t="s">
        <v>2</v>
      </c>
      <c r="E293" s="3">
        <v>30284210</v>
      </c>
      <c r="F293" s="4">
        <v>20017</v>
      </c>
      <c r="G293" t="s">
        <v>473</v>
      </c>
      <c r="I293" t="s">
        <v>1723</v>
      </c>
      <c r="J293" s="2" t="s">
        <v>474</v>
      </c>
      <c r="K293" s="39" t="str">
        <f t="shared" si="16"/>
        <v>SDC127904;RENEWAL</v>
      </c>
      <c r="L293" s="39" t="str">
        <f t="shared" si="17"/>
        <v>OK</v>
      </c>
      <c r="M293" s="39" t="str">
        <f t="shared" si="18"/>
        <v>ERROR</v>
      </c>
      <c r="N293" s="39" t="str">
        <f t="shared" si="19"/>
        <v>OK</v>
      </c>
      <c r="O293" t="s">
        <v>697</v>
      </c>
    </row>
    <row r="294" spans="3:15" x14ac:dyDescent="0.25">
      <c r="C294" s="1">
        <v>42937</v>
      </c>
      <c r="D294" s="5" t="s">
        <v>2</v>
      </c>
      <c r="E294" s="3">
        <v>30284243</v>
      </c>
      <c r="F294" s="4">
        <v>15213</v>
      </c>
      <c r="G294" t="s">
        <v>475</v>
      </c>
      <c r="I294" t="s">
        <v>1724</v>
      </c>
      <c r="J294" s="2" t="s">
        <v>476</v>
      </c>
      <c r="K294" s="39" t="str">
        <f t="shared" si="16"/>
        <v>SDC113408;RENEWAL</v>
      </c>
      <c r="L294" s="39" t="str">
        <f t="shared" si="17"/>
        <v>OK</v>
      </c>
      <c r="M294" s="39" t="str">
        <f t="shared" si="18"/>
        <v>ERROR</v>
      </c>
      <c r="N294" s="39" t="str">
        <f t="shared" si="19"/>
        <v>OK</v>
      </c>
      <c r="O294" t="s">
        <v>697</v>
      </c>
    </row>
    <row r="295" spans="3:15" x14ac:dyDescent="0.25">
      <c r="C295" s="1">
        <v>42937</v>
      </c>
      <c r="D295" s="5" t="s">
        <v>2</v>
      </c>
      <c r="E295" s="3">
        <v>30284358</v>
      </c>
      <c r="F295" s="4">
        <v>2654</v>
      </c>
      <c r="G295" t="s">
        <v>477</v>
      </c>
      <c r="I295" t="s">
        <v>1725</v>
      </c>
      <c r="J295" s="2" t="s">
        <v>478</v>
      </c>
      <c r="K295" s="39" t="str">
        <f t="shared" si="16"/>
        <v>SDC122421;RENEWAL</v>
      </c>
      <c r="L295" s="39" t="str">
        <f t="shared" si="17"/>
        <v>OK</v>
      </c>
      <c r="M295" s="39" t="str">
        <f t="shared" si="18"/>
        <v>ERROR</v>
      </c>
      <c r="N295" s="39" t="str">
        <f t="shared" si="19"/>
        <v>OK</v>
      </c>
      <c r="O295" t="s">
        <v>697</v>
      </c>
    </row>
    <row r="296" spans="3:15" x14ac:dyDescent="0.25">
      <c r="C296" s="1">
        <v>42937</v>
      </c>
      <c r="D296" s="5" t="s">
        <v>2</v>
      </c>
      <c r="E296" s="3">
        <v>30284376</v>
      </c>
      <c r="F296" s="4">
        <v>11441</v>
      </c>
      <c r="G296" t="s">
        <v>479</v>
      </c>
      <c r="I296" t="s">
        <v>1726</v>
      </c>
      <c r="J296" s="2" t="s">
        <v>480</v>
      </c>
      <c r="K296" s="39" t="str">
        <f t="shared" si="16"/>
        <v>SDC127866;RENEWAL</v>
      </c>
      <c r="L296" s="39" t="str">
        <f t="shared" si="17"/>
        <v>OK</v>
      </c>
      <c r="M296" s="39" t="str">
        <f t="shared" si="18"/>
        <v>ERROR</v>
      </c>
      <c r="N296" s="39" t="str">
        <f t="shared" si="19"/>
        <v>OK</v>
      </c>
      <c r="O296" t="s">
        <v>697</v>
      </c>
    </row>
    <row r="297" spans="3:15" x14ac:dyDescent="0.25">
      <c r="C297" s="1">
        <v>42937</v>
      </c>
      <c r="D297" s="5" t="s">
        <v>2</v>
      </c>
      <c r="E297" s="3">
        <v>30285556</v>
      </c>
      <c r="F297" s="4">
        <v>2018</v>
      </c>
      <c r="G297" t="s">
        <v>481</v>
      </c>
      <c r="I297" t="s">
        <v>1727</v>
      </c>
      <c r="J297" s="2" t="s">
        <v>482</v>
      </c>
      <c r="K297" s="39" t="str">
        <f t="shared" si="16"/>
        <v>SDC135190;RENEWAL</v>
      </c>
      <c r="L297" s="39" t="str">
        <f t="shared" si="17"/>
        <v>OK</v>
      </c>
      <c r="M297" s="39" t="str">
        <f t="shared" si="18"/>
        <v>ERROR</v>
      </c>
      <c r="N297" s="39" t="str">
        <f t="shared" si="19"/>
        <v>OK</v>
      </c>
      <c r="O297" t="s">
        <v>697</v>
      </c>
    </row>
    <row r="298" spans="3:15" x14ac:dyDescent="0.25">
      <c r="C298" s="1">
        <v>42937</v>
      </c>
      <c r="D298" s="5" t="s">
        <v>2</v>
      </c>
      <c r="E298" s="3">
        <v>30287018</v>
      </c>
      <c r="F298" s="4">
        <v>3550</v>
      </c>
      <c r="G298" t="s">
        <v>483</v>
      </c>
      <c r="I298" t="s">
        <v>1728</v>
      </c>
      <c r="J298" s="2" t="s">
        <v>484</v>
      </c>
      <c r="K298" s="39" t="str">
        <f t="shared" si="16"/>
        <v>SDC122487;RENEWAL</v>
      </c>
      <c r="L298" s="39" t="str">
        <f t="shared" si="17"/>
        <v>OK</v>
      </c>
      <c r="M298" s="39" t="str">
        <f t="shared" si="18"/>
        <v>ERROR</v>
      </c>
      <c r="N298" s="39" t="str">
        <f t="shared" si="19"/>
        <v>OK</v>
      </c>
      <c r="O298" t="s">
        <v>697</v>
      </c>
    </row>
    <row r="299" spans="3:15" x14ac:dyDescent="0.25">
      <c r="C299" s="1">
        <v>42937</v>
      </c>
      <c r="D299" s="5" t="s">
        <v>2</v>
      </c>
      <c r="E299" s="3">
        <v>30288838</v>
      </c>
      <c r="F299" s="4">
        <v>2309</v>
      </c>
      <c r="G299" t="s">
        <v>485</v>
      </c>
      <c r="I299" t="s">
        <v>1729</v>
      </c>
      <c r="J299" s="2" t="s">
        <v>486</v>
      </c>
      <c r="K299" s="39" t="str">
        <f t="shared" si="16"/>
        <v>SDC134324;RENEWAL</v>
      </c>
      <c r="L299" s="39" t="str">
        <f t="shared" si="17"/>
        <v>OK</v>
      </c>
      <c r="M299" s="39" t="str">
        <f t="shared" si="18"/>
        <v>ERROR</v>
      </c>
      <c r="N299" s="39" t="str">
        <f t="shared" si="19"/>
        <v>OK</v>
      </c>
      <c r="O299" t="s">
        <v>697</v>
      </c>
    </row>
    <row r="300" spans="3:15" x14ac:dyDescent="0.25">
      <c r="C300" s="1">
        <v>42937</v>
      </c>
      <c r="D300" s="5" t="s">
        <v>2</v>
      </c>
      <c r="E300" s="3">
        <v>30289610</v>
      </c>
      <c r="F300" s="4">
        <v>2100</v>
      </c>
      <c r="G300" t="s">
        <v>487</v>
      </c>
      <c r="I300" t="s">
        <v>1730</v>
      </c>
      <c r="J300" s="2" t="s">
        <v>488</v>
      </c>
      <c r="K300" s="39" t="str">
        <f t="shared" si="16"/>
        <v>SDC115559;RENEWAL</v>
      </c>
      <c r="L300" s="39" t="str">
        <f t="shared" si="17"/>
        <v>OK</v>
      </c>
      <c r="M300" s="39" t="str">
        <f t="shared" si="18"/>
        <v>ERROR</v>
      </c>
      <c r="N300" s="39" t="str">
        <f t="shared" si="19"/>
        <v>OK</v>
      </c>
      <c r="O300" t="s">
        <v>697</v>
      </c>
    </row>
    <row r="301" spans="3:15" x14ac:dyDescent="0.25">
      <c r="C301" s="1">
        <v>42937</v>
      </c>
      <c r="D301" s="5" t="s">
        <v>2</v>
      </c>
      <c r="E301" s="3">
        <v>30290756</v>
      </c>
      <c r="F301" s="4">
        <v>4931</v>
      </c>
      <c r="G301" t="s">
        <v>489</v>
      </c>
      <c r="I301" t="s">
        <v>1733</v>
      </c>
      <c r="J301" s="2" t="s">
        <v>490</v>
      </c>
      <c r="K301" s="39" t="str">
        <f t="shared" si="16"/>
        <v>SDC109035;RENEWAL</v>
      </c>
      <c r="L301" s="39" t="str">
        <f t="shared" si="17"/>
        <v>OK</v>
      </c>
      <c r="M301" s="39" t="str">
        <f t="shared" si="18"/>
        <v>ERROR</v>
      </c>
      <c r="N301" s="39" t="str">
        <f t="shared" si="19"/>
        <v>OK</v>
      </c>
      <c r="O301" t="s">
        <v>697</v>
      </c>
    </row>
    <row r="302" spans="3:15" x14ac:dyDescent="0.25">
      <c r="C302" s="1">
        <v>42937</v>
      </c>
      <c r="D302" s="5" t="s">
        <v>2</v>
      </c>
      <c r="E302" s="3">
        <v>30291827</v>
      </c>
      <c r="F302" s="4">
        <v>5203</v>
      </c>
      <c r="G302" t="s">
        <v>491</v>
      </c>
      <c r="I302" t="s">
        <v>1734</v>
      </c>
      <c r="J302" s="2" t="s">
        <v>492</v>
      </c>
      <c r="K302" s="39" t="str">
        <f t="shared" si="16"/>
        <v>SDC106045;RENEWAL</v>
      </c>
      <c r="L302" s="39" t="str">
        <f t="shared" si="17"/>
        <v>OK</v>
      </c>
      <c r="M302" s="39" t="str">
        <f t="shared" si="18"/>
        <v>ERROR</v>
      </c>
      <c r="N302" s="39" t="str">
        <f t="shared" si="19"/>
        <v>OK</v>
      </c>
      <c r="O302" t="s">
        <v>697</v>
      </c>
    </row>
    <row r="303" spans="3:15" x14ac:dyDescent="0.25">
      <c r="C303" s="1">
        <v>42937</v>
      </c>
      <c r="D303" s="5" t="s">
        <v>2</v>
      </c>
      <c r="E303" s="3">
        <v>30292525</v>
      </c>
      <c r="F303" s="4">
        <v>25981</v>
      </c>
      <c r="G303" t="s">
        <v>493</v>
      </c>
      <c r="I303" t="s">
        <v>1735</v>
      </c>
      <c r="J303" s="2">
        <v>30292525</v>
      </c>
      <c r="K303" s="39" t="str">
        <f t="shared" si="16"/>
        <v>DC117601;RENEWAL</v>
      </c>
      <c r="L303" s="39" t="str">
        <f t="shared" si="17"/>
        <v>ERROR</v>
      </c>
      <c r="M303" s="39" t="str">
        <f t="shared" si="18"/>
        <v>ERROR</v>
      </c>
      <c r="N303" s="39" t="str">
        <f t="shared" si="19"/>
        <v>OK</v>
      </c>
      <c r="O303" t="s">
        <v>697</v>
      </c>
    </row>
    <row r="304" spans="3:15" x14ac:dyDescent="0.25">
      <c r="C304" s="1">
        <v>42937</v>
      </c>
      <c r="D304" s="5" t="s">
        <v>2</v>
      </c>
      <c r="E304" s="3">
        <v>30293927</v>
      </c>
      <c r="F304" s="4">
        <v>15000</v>
      </c>
      <c r="G304" t="s">
        <v>494</v>
      </c>
      <c r="I304" t="s">
        <v>1736</v>
      </c>
      <c r="J304" s="2">
        <v>30293927</v>
      </c>
      <c r="K304" s="39" t="str">
        <f t="shared" si="16"/>
        <v>SDC167940;RENEWAL</v>
      </c>
      <c r="L304" s="39" t="str">
        <f t="shared" si="17"/>
        <v>OK</v>
      </c>
      <c r="M304" s="39" t="str">
        <f t="shared" si="18"/>
        <v>ERROR</v>
      </c>
      <c r="N304" s="39" t="str">
        <f t="shared" si="19"/>
        <v>OK</v>
      </c>
      <c r="O304" t="s">
        <v>697</v>
      </c>
    </row>
    <row r="305" spans="3:15" x14ac:dyDescent="0.25">
      <c r="C305" s="1">
        <v>42937</v>
      </c>
      <c r="D305" s="5" t="s">
        <v>2</v>
      </c>
      <c r="E305" s="3">
        <v>30297068</v>
      </c>
      <c r="F305" s="4">
        <v>3415</v>
      </c>
      <c r="G305" t="s">
        <v>495</v>
      </c>
      <c r="I305" t="s">
        <v>1737</v>
      </c>
      <c r="J305" s="2" t="s">
        <v>496</v>
      </c>
      <c r="K305" s="39" t="str">
        <f t="shared" si="16"/>
        <v>SDC135895;RENEWAL</v>
      </c>
      <c r="L305" s="39" t="str">
        <f t="shared" si="17"/>
        <v>OK</v>
      </c>
      <c r="M305" s="39" t="str">
        <f t="shared" si="18"/>
        <v>ERROR</v>
      </c>
      <c r="N305" s="39" t="str">
        <f t="shared" si="19"/>
        <v>OK</v>
      </c>
      <c r="O305" t="s">
        <v>697</v>
      </c>
    </row>
    <row r="306" spans="3:15" x14ac:dyDescent="0.25">
      <c r="C306" s="1">
        <v>42937</v>
      </c>
      <c r="D306" s="5" t="s">
        <v>2</v>
      </c>
      <c r="E306" s="3">
        <v>30298417</v>
      </c>
      <c r="F306" s="4">
        <v>2728</v>
      </c>
      <c r="G306" t="s">
        <v>497</v>
      </c>
      <c r="I306" t="s">
        <v>1738</v>
      </c>
      <c r="J306" s="2" t="s">
        <v>498</v>
      </c>
      <c r="K306" s="39" t="str">
        <f t="shared" si="16"/>
        <v>SDC105152;RENEWAL</v>
      </c>
      <c r="L306" s="39" t="str">
        <f t="shared" si="17"/>
        <v>OK</v>
      </c>
      <c r="M306" s="39" t="str">
        <f t="shared" si="18"/>
        <v>ERROR</v>
      </c>
      <c r="N306" s="39" t="str">
        <f t="shared" si="19"/>
        <v>OK</v>
      </c>
      <c r="O306" t="s">
        <v>697</v>
      </c>
    </row>
    <row r="307" spans="3:15" x14ac:dyDescent="0.25">
      <c r="C307" s="1">
        <v>42937</v>
      </c>
      <c r="D307" s="5" t="s">
        <v>2</v>
      </c>
      <c r="E307" s="3">
        <v>30298797</v>
      </c>
      <c r="F307" s="4">
        <v>5200</v>
      </c>
      <c r="G307" t="s">
        <v>499</v>
      </c>
      <c r="I307" t="s">
        <v>1739</v>
      </c>
      <c r="J307" s="2" t="s">
        <v>500</v>
      </c>
      <c r="K307" s="39" t="str">
        <f t="shared" si="16"/>
        <v>SDC125090;RENEWAL</v>
      </c>
      <c r="L307" s="39" t="str">
        <f t="shared" si="17"/>
        <v>OK</v>
      </c>
      <c r="M307" s="39" t="str">
        <f t="shared" si="18"/>
        <v>ERROR</v>
      </c>
      <c r="N307" s="39" t="str">
        <f t="shared" si="19"/>
        <v>OK</v>
      </c>
      <c r="O307" t="s">
        <v>697</v>
      </c>
    </row>
    <row r="308" spans="3:15" x14ac:dyDescent="0.25">
      <c r="C308" s="1">
        <v>42937</v>
      </c>
      <c r="D308" s="5" t="s">
        <v>2</v>
      </c>
      <c r="E308" s="3">
        <v>30298797</v>
      </c>
      <c r="F308" s="4">
        <v>5200</v>
      </c>
      <c r="G308" t="s">
        <v>501</v>
      </c>
      <c r="I308" t="s">
        <v>1739</v>
      </c>
      <c r="J308" s="2" t="s">
        <v>500</v>
      </c>
      <c r="K308" s="39" t="str">
        <f t="shared" si="16"/>
        <v>SDC125042;RENEWAL</v>
      </c>
      <c r="L308" s="39" t="str">
        <f t="shared" si="17"/>
        <v>OK</v>
      </c>
      <c r="M308" s="39" t="str">
        <f t="shared" si="18"/>
        <v>ERROR</v>
      </c>
      <c r="N308" s="39" t="str">
        <f t="shared" si="19"/>
        <v>OK</v>
      </c>
      <c r="O308" t="s">
        <v>697</v>
      </c>
    </row>
    <row r="309" spans="3:15" x14ac:dyDescent="0.25">
      <c r="C309" s="1">
        <v>42937</v>
      </c>
      <c r="D309" s="5" t="s">
        <v>2</v>
      </c>
      <c r="E309" s="3">
        <v>30299334</v>
      </c>
      <c r="F309" s="4">
        <v>5195</v>
      </c>
      <c r="G309" t="s">
        <v>502</v>
      </c>
      <c r="I309" t="s">
        <v>1741</v>
      </c>
      <c r="J309" s="2" t="s">
        <v>503</v>
      </c>
      <c r="K309" s="39" t="str">
        <f t="shared" si="16"/>
        <v>SDC134752;RENEWAL</v>
      </c>
      <c r="L309" s="39" t="str">
        <f t="shared" si="17"/>
        <v>OK</v>
      </c>
      <c r="M309" s="39" t="str">
        <f t="shared" si="18"/>
        <v>ERROR</v>
      </c>
      <c r="N309" s="39" t="str">
        <f t="shared" si="19"/>
        <v>OK</v>
      </c>
      <c r="O309" t="s">
        <v>697</v>
      </c>
    </row>
    <row r="310" spans="3:15" x14ac:dyDescent="0.25">
      <c r="C310" s="1">
        <v>42937</v>
      </c>
      <c r="D310" s="5" t="s">
        <v>2</v>
      </c>
      <c r="E310" s="3">
        <v>30299429</v>
      </c>
      <c r="F310" s="4">
        <v>2319</v>
      </c>
      <c r="G310" t="s">
        <v>504</v>
      </c>
      <c r="I310" t="s">
        <v>1742</v>
      </c>
      <c r="J310" s="2" t="s">
        <v>505</v>
      </c>
      <c r="K310" s="39" t="str">
        <f t="shared" si="16"/>
        <v>SDC121872;RENEWAL</v>
      </c>
      <c r="L310" s="39" t="str">
        <f t="shared" si="17"/>
        <v>OK</v>
      </c>
      <c r="M310" s="39" t="str">
        <f t="shared" si="18"/>
        <v>ERROR</v>
      </c>
      <c r="N310" s="39" t="str">
        <f t="shared" si="19"/>
        <v>OK</v>
      </c>
      <c r="O310" t="s">
        <v>697</v>
      </c>
    </row>
    <row r="311" spans="3:15" x14ac:dyDescent="0.25">
      <c r="C311" s="1">
        <v>42937</v>
      </c>
      <c r="D311" s="5" t="s">
        <v>2</v>
      </c>
      <c r="E311" s="3">
        <v>30299863</v>
      </c>
      <c r="F311" s="4">
        <v>3172</v>
      </c>
      <c r="G311" t="s">
        <v>506</v>
      </c>
      <c r="I311" t="s">
        <v>1744</v>
      </c>
      <c r="J311" s="2" t="s">
        <v>507</v>
      </c>
      <c r="K311" s="39" t="str">
        <f t="shared" si="16"/>
        <v>SDC136193;RENEWAL</v>
      </c>
      <c r="L311" s="39" t="str">
        <f t="shared" si="17"/>
        <v>OK</v>
      </c>
      <c r="M311" s="39" t="str">
        <f t="shared" si="18"/>
        <v>ERROR</v>
      </c>
      <c r="N311" s="39" t="str">
        <f t="shared" si="19"/>
        <v>OK</v>
      </c>
      <c r="O311" t="s">
        <v>697</v>
      </c>
    </row>
    <row r="312" spans="3:15" x14ac:dyDescent="0.25">
      <c r="C312" s="1">
        <v>42937</v>
      </c>
      <c r="D312" s="5" t="s">
        <v>2</v>
      </c>
      <c r="E312" s="3">
        <v>30300274</v>
      </c>
      <c r="F312" s="4">
        <v>3237</v>
      </c>
      <c r="G312" t="s">
        <v>508</v>
      </c>
      <c r="I312" t="s">
        <v>1745</v>
      </c>
      <c r="J312" s="2" t="s">
        <v>509</v>
      </c>
      <c r="K312" s="39" t="str">
        <f t="shared" si="16"/>
        <v>SDC134023;RENEWAL</v>
      </c>
      <c r="L312" s="39" t="str">
        <f t="shared" si="17"/>
        <v>OK</v>
      </c>
      <c r="M312" s="39" t="str">
        <f t="shared" si="18"/>
        <v>ERROR</v>
      </c>
      <c r="N312" s="39" t="str">
        <f t="shared" si="19"/>
        <v>OK</v>
      </c>
      <c r="O312" t="s">
        <v>697</v>
      </c>
    </row>
    <row r="313" spans="3:15" x14ac:dyDescent="0.25">
      <c r="C313" s="1">
        <v>42937</v>
      </c>
      <c r="D313" s="5" t="s">
        <v>2</v>
      </c>
      <c r="E313" s="3">
        <v>30300595</v>
      </c>
      <c r="F313" s="4">
        <v>6000</v>
      </c>
      <c r="G313" t="s">
        <v>510</v>
      </c>
      <c r="I313" t="s">
        <v>1746</v>
      </c>
      <c r="J313" s="2">
        <v>30300595</v>
      </c>
      <c r="K313" s="39" t="str">
        <f t="shared" si="16"/>
        <v>SDC222140;RENEWAL</v>
      </c>
      <c r="L313" s="39" t="str">
        <f t="shared" si="17"/>
        <v>OK</v>
      </c>
      <c r="M313" s="39" t="str">
        <f t="shared" si="18"/>
        <v>ERROR</v>
      </c>
      <c r="N313" s="39" t="str">
        <f t="shared" si="19"/>
        <v>OK</v>
      </c>
      <c r="O313" t="s">
        <v>697</v>
      </c>
    </row>
    <row r="314" spans="3:15" x14ac:dyDescent="0.25">
      <c r="C314" s="1">
        <v>42937</v>
      </c>
      <c r="D314" s="5" t="s">
        <v>2</v>
      </c>
      <c r="E314" s="3">
        <v>30300882</v>
      </c>
      <c r="F314" s="4">
        <v>4000</v>
      </c>
      <c r="G314" t="s">
        <v>511</v>
      </c>
      <c r="I314" t="s">
        <v>1747</v>
      </c>
      <c r="J314" s="2" t="s">
        <v>512</v>
      </c>
      <c r="K314" s="39" t="str">
        <f t="shared" si="16"/>
        <v>DC93025;RENEWAL</v>
      </c>
      <c r="L314" s="39" t="str">
        <f t="shared" si="17"/>
        <v>ERROR</v>
      </c>
      <c r="M314" s="39" t="str">
        <f t="shared" si="18"/>
        <v>ERROR</v>
      </c>
      <c r="N314" s="39" t="str">
        <f t="shared" si="19"/>
        <v>OK</v>
      </c>
      <c r="O314" t="s">
        <v>697</v>
      </c>
    </row>
    <row r="315" spans="3:15" x14ac:dyDescent="0.25">
      <c r="C315" s="1">
        <v>42937</v>
      </c>
      <c r="D315" s="5" t="s">
        <v>2</v>
      </c>
      <c r="E315" s="3">
        <v>30302201</v>
      </c>
      <c r="F315" s="4">
        <v>3542</v>
      </c>
      <c r="G315" t="s">
        <v>513</v>
      </c>
      <c r="I315" t="s">
        <v>1748</v>
      </c>
      <c r="J315" s="2">
        <v>30302201</v>
      </c>
      <c r="K315" s="39" t="str">
        <f t="shared" si="16"/>
        <v>SDC199403;RENEWAL</v>
      </c>
      <c r="L315" s="39" t="str">
        <f t="shared" si="17"/>
        <v>OK</v>
      </c>
      <c r="M315" s="39" t="str">
        <f t="shared" si="18"/>
        <v>ERROR</v>
      </c>
      <c r="N315" s="39" t="str">
        <f t="shared" si="19"/>
        <v>OK</v>
      </c>
      <c r="O315" t="s">
        <v>697</v>
      </c>
    </row>
    <row r="316" spans="3:15" x14ac:dyDescent="0.25">
      <c r="C316" s="1">
        <v>42937</v>
      </c>
      <c r="D316" s="5" t="s">
        <v>136</v>
      </c>
      <c r="E316" s="3">
        <v>30303093</v>
      </c>
      <c r="F316" s="4">
        <v>3300</v>
      </c>
      <c r="G316" t="s">
        <v>514</v>
      </c>
      <c r="I316" t="s">
        <v>1749</v>
      </c>
      <c r="J316" s="2">
        <v>30303093</v>
      </c>
      <c r="K316" s="39" t="str">
        <f t="shared" si="16"/>
        <v>SDC211603;RENEWAL</v>
      </c>
      <c r="L316" s="39" t="str">
        <f t="shared" si="17"/>
        <v>OK</v>
      </c>
      <c r="M316" s="39" t="str">
        <f t="shared" si="18"/>
        <v>ERROR</v>
      </c>
      <c r="N316" s="39" t="str">
        <f t="shared" si="19"/>
        <v>OK</v>
      </c>
      <c r="O316" t="s">
        <v>701</v>
      </c>
    </row>
    <row r="317" spans="3:15" x14ac:dyDescent="0.25">
      <c r="C317" s="1">
        <v>42937</v>
      </c>
      <c r="D317" s="5" t="s">
        <v>2</v>
      </c>
      <c r="E317" s="3">
        <v>30303831</v>
      </c>
      <c r="F317" s="4">
        <v>3675</v>
      </c>
      <c r="G317" t="s">
        <v>515</v>
      </c>
      <c r="I317" t="s">
        <v>1750</v>
      </c>
      <c r="J317" s="2" t="s">
        <v>516</v>
      </c>
      <c r="K317" s="39" t="str">
        <f t="shared" si="16"/>
        <v>SDC122492;RENEWAL</v>
      </c>
      <c r="L317" s="39" t="str">
        <f t="shared" si="17"/>
        <v>OK</v>
      </c>
      <c r="M317" s="39" t="str">
        <f t="shared" si="18"/>
        <v>ERROR</v>
      </c>
      <c r="N317" s="39" t="str">
        <f t="shared" si="19"/>
        <v>OK</v>
      </c>
      <c r="O317" t="s">
        <v>697</v>
      </c>
    </row>
    <row r="318" spans="3:15" x14ac:dyDescent="0.25">
      <c r="C318" s="1">
        <v>42937</v>
      </c>
      <c r="D318" s="5" t="s">
        <v>2</v>
      </c>
      <c r="E318" s="7">
        <v>30222631</v>
      </c>
      <c r="F318" s="4">
        <v>2112</v>
      </c>
      <c r="G318" t="s">
        <v>517</v>
      </c>
      <c r="I318" t="s">
        <v>1751</v>
      </c>
      <c r="J318" s="2" t="s">
        <v>518</v>
      </c>
      <c r="K318" s="39" t="str">
        <f t="shared" si="16"/>
        <v>SDC119279;RENEWAL</v>
      </c>
      <c r="L318" s="39" t="str">
        <f t="shared" si="17"/>
        <v>OK</v>
      </c>
      <c r="M318" s="39" t="str">
        <f t="shared" si="18"/>
        <v>ERROR</v>
      </c>
      <c r="N318" s="39" t="str">
        <f t="shared" si="19"/>
        <v>OK</v>
      </c>
      <c r="O318" t="s">
        <v>697</v>
      </c>
    </row>
    <row r="319" spans="3:15" x14ac:dyDescent="0.25">
      <c r="C319" s="1">
        <v>42937</v>
      </c>
      <c r="D319" s="5" t="s">
        <v>2</v>
      </c>
      <c r="E319" s="8">
        <v>10012275</v>
      </c>
      <c r="F319" s="4">
        <v>3835</v>
      </c>
      <c r="G319" t="s">
        <v>519</v>
      </c>
      <c r="I319" t="s">
        <v>1752</v>
      </c>
      <c r="J319" s="2" t="s">
        <v>520</v>
      </c>
      <c r="K319" s="39" t="str">
        <f t="shared" si="16"/>
        <v>SDC113439;RENEWAL</v>
      </c>
      <c r="L319" s="39" t="str">
        <f t="shared" si="17"/>
        <v>OK</v>
      </c>
      <c r="M319" s="39" t="str">
        <f t="shared" si="18"/>
        <v>ERROR</v>
      </c>
      <c r="N319" s="39" t="str">
        <f t="shared" si="19"/>
        <v>OK</v>
      </c>
      <c r="O319" t="s">
        <v>697</v>
      </c>
    </row>
    <row r="320" spans="3:15" x14ac:dyDescent="0.25">
      <c r="C320" s="1">
        <v>42937</v>
      </c>
      <c r="D320" s="5" t="s">
        <v>2</v>
      </c>
      <c r="E320" s="8">
        <v>10018045</v>
      </c>
      <c r="F320" s="4">
        <v>1006</v>
      </c>
      <c r="G320" t="s">
        <v>521</v>
      </c>
      <c r="I320" t="s">
        <v>1753</v>
      </c>
      <c r="J320" s="2" t="s">
        <v>522</v>
      </c>
      <c r="K320" s="39" t="str">
        <f t="shared" si="16"/>
        <v>SDC115286;RENEWAL</v>
      </c>
      <c r="L320" s="39" t="str">
        <f t="shared" si="17"/>
        <v>OK</v>
      </c>
      <c r="M320" s="39" t="str">
        <f t="shared" si="18"/>
        <v>ERROR</v>
      </c>
      <c r="N320" s="39" t="str">
        <f t="shared" si="19"/>
        <v>OK</v>
      </c>
      <c r="O320" t="s">
        <v>697</v>
      </c>
    </row>
    <row r="321" spans="3:15" x14ac:dyDescent="0.25">
      <c r="C321" s="1">
        <v>42937</v>
      </c>
      <c r="D321" s="5" t="s">
        <v>2</v>
      </c>
      <c r="E321" s="8">
        <v>10033040</v>
      </c>
      <c r="F321" s="4">
        <v>3003</v>
      </c>
      <c r="G321" t="s">
        <v>523</v>
      </c>
      <c r="I321" t="s">
        <v>1755</v>
      </c>
      <c r="J321" s="2" t="s">
        <v>524</v>
      </c>
      <c r="K321" s="39" t="str">
        <f t="shared" si="16"/>
        <v>SDC115563;RENEWAL</v>
      </c>
      <c r="L321" s="39" t="str">
        <f t="shared" si="17"/>
        <v>OK</v>
      </c>
      <c r="M321" s="39" t="str">
        <f t="shared" si="18"/>
        <v>ERROR</v>
      </c>
      <c r="N321" s="39" t="str">
        <f t="shared" si="19"/>
        <v>OK</v>
      </c>
      <c r="O321" t="s">
        <v>697</v>
      </c>
    </row>
    <row r="322" spans="3:15" x14ac:dyDescent="0.25">
      <c r="C322" s="1">
        <v>42937</v>
      </c>
      <c r="D322" s="5" t="s">
        <v>2</v>
      </c>
      <c r="E322" s="8">
        <v>10030372</v>
      </c>
      <c r="F322" s="4">
        <v>1282</v>
      </c>
      <c r="G322" t="s">
        <v>525</v>
      </c>
      <c r="I322" t="s">
        <v>1756</v>
      </c>
      <c r="J322" s="2" t="s">
        <v>526</v>
      </c>
      <c r="K322" s="39" t="str">
        <f t="shared" si="16"/>
        <v>SDC123644;RENEWAL</v>
      </c>
      <c r="L322" s="39" t="str">
        <f t="shared" si="17"/>
        <v>OK</v>
      </c>
      <c r="M322" s="39" t="str">
        <f t="shared" si="18"/>
        <v>ERROR</v>
      </c>
      <c r="N322" s="39" t="str">
        <f t="shared" si="19"/>
        <v>OK</v>
      </c>
      <c r="O322" t="s">
        <v>697</v>
      </c>
    </row>
    <row r="323" spans="3:15" x14ac:dyDescent="0.25">
      <c r="C323" s="1">
        <v>42937</v>
      </c>
      <c r="D323" s="5" t="s">
        <v>2</v>
      </c>
      <c r="E323" s="8">
        <v>10033905</v>
      </c>
      <c r="F323" s="4">
        <v>1578</v>
      </c>
      <c r="G323" t="s">
        <v>527</v>
      </c>
      <c r="I323" t="s">
        <v>1757</v>
      </c>
      <c r="J323" s="2" t="s">
        <v>528</v>
      </c>
      <c r="K323" s="39" t="str">
        <f t="shared" ref="K323:K386" si="20">SUBSTITUTE(TRIM(MID(H323,7,4)&amp;G323&amp;";RENEWAL")," ","")</f>
        <v>SDC126326;RENEWAL</v>
      </c>
      <c r="L323" s="39" t="str">
        <f t="shared" ref="L323:L386" si="21">IF(ISERROR(SUBSTITUTE(SUBSTITUTE(K323,LEFT(K323,6),""),RIGHT(SUBSTITUTE(K323,LEFT(K323,6),""),10),"")*1)&amp;" ¦ "&amp;ISERROR(SUBSTITUTE(SUBSTITUTE(K323,LEFT(K323,7),""),RIGHT(SUBSTITUTE(K323,LEFT(K323,7),""),10),"")*1)="TRUE ¦ TRUE","ERROR","OK")</f>
        <v>OK</v>
      </c>
      <c r="M323" s="39" t="str">
        <f t="shared" ref="M323:M386" si="22">IF(ISERROR(LEFT(K323,3)*1)=TRUE,"ERROR","OK")</f>
        <v>ERROR</v>
      </c>
      <c r="N323" s="39" t="str">
        <f t="shared" ref="N323:N386" si="23">IF(RIGHT(K323,8)=";RENEWAL","OK","ERROR")</f>
        <v>OK</v>
      </c>
      <c r="O323" t="s">
        <v>697</v>
      </c>
    </row>
    <row r="324" spans="3:15" x14ac:dyDescent="0.25">
      <c r="C324" s="1">
        <v>42937</v>
      </c>
      <c r="D324" s="5" t="s">
        <v>60</v>
      </c>
      <c r="E324" s="8">
        <v>10045418</v>
      </c>
      <c r="F324" s="4">
        <v>1001</v>
      </c>
      <c r="G324" t="s">
        <v>529</v>
      </c>
      <c r="I324" t="s">
        <v>1758</v>
      </c>
      <c r="J324" s="2" t="s">
        <v>530</v>
      </c>
      <c r="K324" s="39" t="str">
        <f t="shared" si="20"/>
        <v>SDC125133;RENEWAL</v>
      </c>
      <c r="L324" s="39" t="str">
        <f t="shared" si="21"/>
        <v>OK</v>
      </c>
      <c r="M324" s="39" t="str">
        <f t="shared" si="22"/>
        <v>ERROR</v>
      </c>
      <c r="N324" s="39" t="str">
        <f t="shared" si="23"/>
        <v>OK</v>
      </c>
      <c r="O324" t="s">
        <v>700</v>
      </c>
    </row>
    <row r="325" spans="3:15" x14ac:dyDescent="0.25">
      <c r="C325" s="1">
        <v>42937</v>
      </c>
      <c r="D325" s="5" t="s">
        <v>2</v>
      </c>
      <c r="E325" s="8">
        <v>10050335</v>
      </c>
      <c r="F325" s="4">
        <v>8529</v>
      </c>
      <c r="G325" t="s">
        <v>531</v>
      </c>
      <c r="I325" t="s">
        <v>1759</v>
      </c>
      <c r="J325" s="2" t="s">
        <v>532</v>
      </c>
      <c r="K325" s="39" t="str">
        <f t="shared" si="20"/>
        <v>SDC132001;RENEWAL</v>
      </c>
      <c r="L325" s="39" t="str">
        <f t="shared" si="21"/>
        <v>OK</v>
      </c>
      <c r="M325" s="39" t="str">
        <f t="shared" si="22"/>
        <v>ERROR</v>
      </c>
      <c r="N325" s="39" t="str">
        <f t="shared" si="23"/>
        <v>OK</v>
      </c>
      <c r="O325" t="s">
        <v>697</v>
      </c>
    </row>
    <row r="326" spans="3:15" x14ac:dyDescent="0.25">
      <c r="C326" s="1">
        <v>42937</v>
      </c>
      <c r="D326" s="5" t="s">
        <v>2</v>
      </c>
      <c r="E326" s="8">
        <v>10055060</v>
      </c>
      <c r="F326" s="4">
        <v>5176</v>
      </c>
      <c r="G326" t="s">
        <v>533</v>
      </c>
      <c r="I326" t="s">
        <v>1760</v>
      </c>
      <c r="J326" s="2" t="s">
        <v>534</v>
      </c>
      <c r="K326" s="39" t="str">
        <f t="shared" si="20"/>
        <v>SDC115450;RENEWAL</v>
      </c>
      <c r="L326" s="39" t="str">
        <f t="shared" si="21"/>
        <v>OK</v>
      </c>
      <c r="M326" s="39" t="str">
        <f t="shared" si="22"/>
        <v>ERROR</v>
      </c>
      <c r="N326" s="39" t="str">
        <f t="shared" si="23"/>
        <v>OK</v>
      </c>
      <c r="O326" t="s">
        <v>697</v>
      </c>
    </row>
    <row r="327" spans="3:15" x14ac:dyDescent="0.25">
      <c r="C327" s="1">
        <v>42937</v>
      </c>
      <c r="D327" s="5" t="s">
        <v>2</v>
      </c>
      <c r="E327" s="8">
        <v>10044465</v>
      </c>
      <c r="F327" s="4">
        <v>8646</v>
      </c>
      <c r="G327" t="s">
        <v>535</v>
      </c>
      <c r="I327" t="s">
        <v>1761</v>
      </c>
      <c r="J327" s="2" t="s">
        <v>536</v>
      </c>
      <c r="K327" s="39" t="str">
        <f t="shared" si="20"/>
        <v>SDC119499;RENEWAL</v>
      </c>
      <c r="L327" s="39" t="str">
        <f t="shared" si="21"/>
        <v>OK</v>
      </c>
      <c r="M327" s="39" t="str">
        <f t="shared" si="22"/>
        <v>ERROR</v>
      </c>
      <c r="N327" s="39" t="str">
        <f t="shared" si="23"/>
        <v>OK</v>
      </c>
      <c r="O327" t="s">
        <v>697</v>
      </c>
    </row>
    <row r="328" spans="3:15" x14ac:dyDescent="0.25">
      <c r="C328" s="1">
        <v>42937</v>
      </c>
      <c r="D328" s="5" t="s">
        <v>2</v>
      </c>
      <c r="E328" s="8">
        <v>10059602</v>
      </c>
      <c r="F328" s="4">
        <v>1623</v>
      </c>
      <c r="G328" t="s">
        <v>537</v>
      </c>
      <c r="I328" t="s">
        <v>1762</v>
      </c>
      <c r="J328" s="2" t="s">
        <v>538</v>
      </c>
      <c r="K328" s="39" t="str">
        <f t="shared" si="20"/>
        <v>SDC125732;RENEWAL</v>
      </c>
      <c r="L328" s="39" t="str">
        <f t="shared" si="21"/>
        <v>OK</v>
      </c>
      <c r="M328" s="39" t="str">
        <f t="shared" si="22"/>
        <v>ERROR</v>
      </c>
      <c r="N328" s="39" t="str">
        <f t="shared" si="23"/>
        <v>OK</v>
      </c>
      <c r="O328" t="s">
        <v>697</v>
      </c>
    </row>
    <row r="329" spans="3:15" x14ac:dyDescent="0.25">
      <c r="C329" s="1">
        <v>42937</v>
      </c>
      <c r="D329" s="5" t="s">
        <v>2</v>
      </c>
      <c r="E329" s="8">
        <v>30294901</v>
      </c>
      <c r="F329" s="4">
        <v>13525</v>
      </c>
      <c r="G329" t="s">
        <v>539</v>
      </c>
      <c r="I329" t="s">
        <v>1763</v>
      </c>
      <c r="J329" s="2" t="s">
        <v>540</v>
      </c>
      <c r="K329" s="39" t="str">
        <f t="shared" si="20"/>
        <v>SDC170742;RENEWAL</v>
      </c>
      <c r="L329" s="39" t="str">
        <f t="shared" si="21"/>
        <v>OK</v>
      </c>
      <c r="M329" s="39" t="str">
        <f t="shared" si="22"/>
        <v>ERROR</v>
      </c>
      <c r="N329" s="39" t="str">
        <f t="shared" si="23"/>
        <v>OK</v>
      </c>
      <c r="O329" t="s">
        <v>697</v>
      </c>
    </row>
    <row r="330" spans="3:15" x14ac:dyDescent="0.25">
      <c r="C330" s="1">
        <v>42937</v>
      </c>
      <c r="D330" s="5" t="s">
        <v>2</v>
      </c>
      <c r="E330" s="9">
        <v>30053611</v>
      </c>
      <c r="F330" s="4">
        <v>5865</v>
      </c>
      <c r="G330" t="s">
        <v>541</v>
      </c>
      <c r="I330" t="s">
        <v>1764</v>
      </c>
      <c r="J330" s="2" t="s">
        <v>542</v>
      </c>
      <c r="K330" s="39" t="str">
        <f t="shared" si="20"/>
        <v>SDC125684;RENEWAL</v>
      </c>
      <c r="L330" s="39" t="str">
        <f t="shared" si="21"/>
        <v>OK</v>
      </c>
      <c r="M330" s="39" t="str">
        <f t="shared" si="22"/>
        <v>ERROR</v>
      </c>
      <c r="N330" s="39" t="str">
        <f t="shared" si="23"/>
        <v>OK</v>
      </c>
      <c r="O330" t="s">
        <v>697</v>
      </c>
    </row>
    <row r="331" spans="3:15" x14ac:dyDescent="0.25">
      <c r="C331" s="1">
        <v>42937</v>
      </c>
      <c r="D331" s="5" t="s">
        <v>2</v>
      </c>
      <c r="E331" s="10">
        <v>30146142</v>
      </c>
      <c r="F331" s="4">
        <v>1147</v>
      </c>
      <c r="G331" t="s">
        <v>543</v>
      </c>
      <c r="I331" t="s">
        <v>1766</v>
      </c>
      <c r="J331" s="2" t="s">
        <v>544</v>
      </c>
      <c r="K331" s="39" t="str">
        <f t="shared" si="20"/>
        <v>SDC118638;RENEWAL</v>
      </c>
      <c r="L331" s="39" t="str">
        <f t="shared" si="21"/>
        <v>OK</v>
      </c>
      <c r="M331" s="39" t="str">
        <f t="shared" si="22"/>
        <v>ERROR</v>
      </c>
      <c r="N331" s="39" t="str">
        <f t="shared" si="23"/>
        <v>OK</v>
      </c>
      <c r="O331" t="s">
        <v>697</v>
      </c>
    </row>
    <row r="332" spans="3:15" x14ac:dyDescent="0.25">
      <c r="C332" s="1">
        <v>42937</v>
      </c>
      <c r="D332" s="5" t="s">
        <v>2</v>
      </c>
      <c r="E332" s="9">
        <v>30160730</v>
      </c>
      <c r="F332" s="4">
        <v>13746</v>
      </c>
      <c r="G332" t="s">
        <v>545</v>
      </c>
      <c r="I332" t="s">
        <v>1767</v>
      </c>
      <c r="J332" s="2" t="s">
        <v>546</v>
      </c>
      <c r="K332" s="39" t="str">
        <f t="shared" si="20"/>
        <v>SDC109985;RENEWAL</v>
      </c>
      <c r="L332" s="39" t="str">
        <f t="shared" si="21"/>
        <v>OK</v>
      </c>
      <c r="M332" s="39" t="str">
        <f t="shared" si="22"/>
        <v>ERROR</v>
      </c>
      <c r="N332" s="39" t="str">
        <f t="shared" si="23"/>
        <v>OK</v>
      </c>
      <c r="O332" t="s">
        <v>697</v>
      </c>
    </row>
    <row r="333" spans="3:15" x14ac:dyDescent="0.25">
      <c r="C333" s="1">
        <v>42937</v>
      </c>
      <c r="D333" s="5" t="s">
        <v>2</v>
      </c>
      <c r="E333" s="11">
        <v>10106578</v>
      </c>
      <c r="F333" s="4">
        <v>3000</v>
      </c>
      <c r="G333" t="s">
        <v>547</v>
      </c>
      <c r="I333" t="s">
        <v>1768</v>
      </c>
      <c r="J333" s="2" t="s">
        <v>548</v>
      </c>
      <c r="K333" s="39" t="str">
        <f t="shared" si="20"/>
        <v>SDC107453;RENEWAL</v>
      </c>
      <c r="L333" s="39" t="str">
        <f t="shared" si="21"/>
        <v>OK</v>
      </c>
      <c r="M333" s="39" t="str">
        <f t="shared" si="22"/>
        <v>ERROR</v>
      </c>
      <c r="N333" s="39" t="str">
        <f t="shared" si="23"/>
        <v>OK</v>
      </c>
      <c r="O333" t="s">
        <v>697</v>
      </c>
    </row>
    <row r="334" spans="3:15" x14ac:dyDescent="0.25">
      <c r="C334" s="1">
        <v>42937</v>
      </c>
      <c r="D334" s="5" t="s">
        <v>2</v>
      </c>
      <c r="E334" s="12">
        <v>30195647</v>
      </c>
      <c r="F334" s="4">
        <v>4000</v>
      </c>
      <c r="G334" t="s">
        <v>549</v>
      </c>
      <c r="I334" t="s">
        <v>1769</v>
      </c>
      <c r="J334" s="2" t="s">
        <v>550</v>
      </c>
      <c r="K334" s="39" t="str">
        <f t="shared" si="20"/>
        <v>SDC115880;RENEWAL</v>
      </c>
      <c r="L334" s="39" t="str">
        <f t="shared" si="21"/>
        <v>OK</v>
      </c>
      <c r="M334" s="39" t="str">
        <f t="shared" si="22"/>
        <v>ERROR</v>
      </c>
      <c r="N334" s="39" t="str">
        <f t="shared" si="23"/>
        <v>OK</v>
      </c>
      <c r="O334" t="s">
        <v>697</v>
      </c>
    </row>
    <row r="335" spans="3:15" x14ac:dyDescent="0.25">
      <c r="C335" s="1">
        <v>42937</v>
      </c>
      <c r="D335" s="5" t="s">
        <v>2</v>
      </c>
      <c r="E335" s="13">
        <v>30060851</v>
      </c>
      <c r="F335" s="4">
        <v>2010</v>
      </c>
      <c r="G335" t="s">
        <v>551</v>
      </c>
      <c r="I335" t="s">
        <v>1770</v>
      </c>
      <c r="J335" s="2" t="s">
        <v>552</v>
      </c>
      <c r="K335" s="39" t="str">
        <f t="shared" si="20"/>
        <v>SDC110233;RENEWAL</v>
      </c>
      <c r="L335" s="39" t="str">
        <f t="shared" si="21"/>
        <v>OK</v>
      </c>
      <c r="M335" s="39" t="str">
        <f t="shared" si="22"/>
        <v>ERROR</v>
      </c>
      <c r="N335" s="39" t="str">
        <f t="shared" si="23"/>
        <v>OK</v>
      </c>
      <c r="O335" t="s">
        <v>697</v>
      </c>
    </row>
    <row r="336" spans="3:15" x14ac:dyDescent="0.25">
      <c r="C336" s="1">
        <v>42937</v>
      </c>
      <c r="D336" s="5" t="s">
        <v>2</v>
      </c>
      <c r="E336" s="6">
        <v>30195207</v>
      </c>
      <c r="F336" s="4">
        <v>2000</v>
      </c>
      <c r="G336" t="s">
        <v>553</v>
      </c>
      <c r="I336" t="s">
        <v>1771</v>
      </c>
      <c r="J336" s="2" t="s">
        <v>554</v>
      </c>
      <c r="K336" s="39" t="str">
        <f t="shared" si="20"/>
        <v>SDC112646;RENEWAL</v>
      </c>
      <c r="L336" s="39" t="str">
        <f t="shared" si="21"/>
        <v>OK</v>
      </c>
      <c r="M336" s="39" t="str">
        <f t="shared" si="22"/>
        <v>ERROR</v>
      </c>
      <c r="N336" s="39" t="str">
        <f t="shared" si="23"/>
        <v>OK</v>
      </c>
      <c r="O336" t="s">
        <v>697</v>
      </c>
    </row>
    <row r="337" spans="3:15" x14ac:dyDescent="0.25">
      <c r="C337" s="1">
        <v>42937</v>
      </c>
      <c r="D337" s="5" t="s">
        <v>2</v>
      </c>
      <c r="E337" s="14">
        <v>30165989</v>
      </c>
      <c r="F337" s="4">
        <v>796</v>
      </c>
      <c r="G337" t="s">
        <v>555</v>
      </c>
      <c r="I337" t="s">
        <v>1772</v>
      </c>
      <c r="J337" s="2" t="s">
        <v>556</v>
      </c>
      <c r="K337" s="39" t="str">
        <f t="shared" si="20"/>
        <v>SDC113405;RENEWAL</v>
      </c>
      <c r="L337" s="39" t="str">
        <f t="shared" si="21"/>
        <v>OK</v>
      </c>
      <c r="M337" s="39" t="str">
        <f t="shared" si="22"/>
        <v>ERROR</v>
      </c>
      <c r="N337" s="39" t="str">
        <f t="shared" si="23"/>
        <v>OK</v>
      </c>
      <c r="O337" t="s">
        <v>697</v>
      </c>
    </row>
    <row r="338" spans="3:15" x14ac:dyDescent="0.25">
      <c r="C338" s="1">
        <v>42937</v>
      </c>
      <c r="D338" s="5" t="s">
        <v>2</v>
      </c>
      <c r="E338" s="14">
        <v>30165990</v>
      </c>
      <c r="F338" s="4">
        <v>5806</v>
      </c>
      <c r="G338" t="s">
        <v>557</v>
      </c>
      <c r="I338" t="s">
        <v>1773</v>
      </c>
      <c r="J338" s="2" t="s">
        <v>558</v>
      </c>
      <c r="K338" s="39" t="str">
        <f t="shared" si="20"/>
        <v>SDC113466;RENEWAL</v>
      </c>
      <c r="L338" s="39" t="str">
        <f t="shared" si="21"/>
        <v>OK</v>
      </c>
      <c r="M338" s="39" t="str">
        <f t="shared" si="22"/>
        <v>ERROR</v>
      </c>
      <c r="N338" s="39" t="str">
        <f t="shared" si="23"/>
        <v>OK</v>
      </c>
      <c r="O338" t="s">
        <v>697</v>
      </c>
    </row>
    <row r="339" spans="3:15" x14ac:dyDescent="0.25">
      <c r="C339" s="1">
        <v>42937</v>
      </c>
      <c r="D339" s="5" t="s">
        <v>2</v>
      </c>
      <c r="E339" s="14">
        <v>30165991</v>
      </c>
      <c r="F339" s="4">
        <v>5806</v>
      </c>
      <c r="G339" t="s">
        <v>559</v>
      </c>
      <c r="I339" t="s">
        <v>1774</v>
      </c>
      <c r="J339" s="2" t="s">
        <v>560</v>
      </c>
      <c r="K339" s="39" t="str">
        <f t="shared" si="20"/>
        <v>SDC113468;RENEWAL</v>
      </c>
      <c r="L339" s="39" t="str">
        <f t="shared" si="21"/>
        <v>OK</v>
      </c>
      <c r="M339" s="39" t="str">
        <f t="shared" si="22"/>
        <v>ERROR</v>
      </c>
      <c r="N339" s="39" t="str">
        <f t="shared" si="23"/>
        <v>OK</v>
      </c>
      <c r="O339" t="s">
        <v>697</v>
      </c>
    </row>
    <row r="340" spans="3:15" x14ac:dyDescent="0.25">
      <c r="C340" s="1">
        <v>42937</v>
      </c>
      <c r="D340" s="5" t="s">
        <v>2</v>
      </c>
      <c r="E340" s="6">
        <v>30199638</v>
      </c>
      <c r="F340" s="4">
        <v>2000</v>
      </c>
      <c r="G340" t="s">
        <v>561</v>
      </c>
      <c r="I340" t="s">
        <v>1775</v>
      </c>
      <c r="J340" s="2" t="s">
        <v>562</v>
      </c>
      <c r="K340" s="39" t="str">
        <f t="shared" si="20"/>
        <v>SDC116544;RENEWAL</v>
      </c>
      <c r="L340" s="39" t="str">
        <f t="shared" si="21"/>
        <v>OK</v>
      </c>
      <c r="M340" s="39" t="str">
        <f t="shared" si="22"/>
        <v>ERROR</v>
      </c>
      <c r="N340" s="39" t="str">
        <f t="shared" si="23"/>
        <v>OK</v>
      </c>
      <c r="O340" t="s">
        <v>697</v>
      </c>
    </row>
    <row r="341" spans="3:15" x14ac:dyDescent="0.25">
      <c r="C341" s="1">
        <v>42937</v>
      </c>
      <c r="D341" s="5" t="s">
        <v>2</v>
      </c>
      <c r="E341" s="6">
        <v>10188066</v>
      </c>
      <c r="F341" s="4">
        <v>11160</v>
      </c>
      <c r="G341" t="s">
        <v>563</v>
      </c>
      <c r="I341" t="s">
        <v>1777</v>
      </c>
      <c r="J341" s="2" t="s">
        <v>564</v>
      </c>
      <c r="K341" s="39" t="str">
        <f t="shared" si="20"/>
        <v>SDC109160;RENEWAL</v>
      </c>
      <c r="L341" s="39" t="str">
        <f t="shared" si="21"/>
        <v>OK</v>
      </c>
      <c r="M341" s="39" t="str">
        <f t="shared" si="22"/>
        <v>ERROR</v>
      </c>
      <c r="N341" s="39" t="str">
        <f t="shared" si="23"/>
        <v>OK</v>
      </c>
      <c r="O341" t="s">
        <v>697</v>
      </c>
    </row>
    <row r="342" spans="3:15" x14ac:dyDescent="0.25">
      <c r="C342" s="1">
        <v>42937</v>
      </c>
      <c r="D342" s="5" t="s">
        <v>136</v>
      </c>
      <c r="E342" s="10">
        <v>10000255</v>
      </c>
      <c r="F342" s="4">
        <v>361</v>
      </c>
      <c r="G342" t="s">
        <v>565</v>
      </c>
      <c r="I342" t="s">
        <v>1934</v>
      </c>
      <c r="J342" s="2" t="s">
        <v>566</v>
      </c>
      <c r="K342" s="39" t="str">
        <f t="shared" si="20"/>
        <v>SDC111464;RENEWAL</v>
      </c>
      <c r="L342" s="39" t="str">
        <f t="shared" si="21"/>
        <v>OK</v>
      </c>
      <c r="M342" s="39" t="str">
        <f t="shared" si="22"/>
        <v>ERROR</v>
      </c>
      <c r="N342" s="39" t="str">
        <f t="shared" si="23"/>
        <v>OK</v>
      </c>
      <c r="O342" t="s">
        <v>701</v>
      </c>
    </row>
    <row r="343" spans="3:15" x14ac:dyDescent="0.25">
      <c r="C343" s="1">
        <v>42937</v>
      </c>
      <c r="D343" s="5" t="s">
        <v>2</v>
      </c>
      <c r="E343" s="11">
        <v>10008413</v>
      </c>
      <c r="F343" s="4">
        <v>1284</v>
      </c>
      <c r="G343" t="s">
        <v>567</v>
      </c>
      <c r="I343" t="s">
        <v>1778</v>
      </c>
      <c r="J343" s="2" t="s">
        <v>568</v>
      </c>
      <c r="K343" s="39" t="str">
        <f t="shared" si="20"/>
        <v>SDC117928;RENEWAL</v>
      </c>
      <c r="L343" s="39" t="str">
        <f t="shared" si="21"/>
        <v>OK</v>
      </c>
      <c r="M343" s="39" t="str">
        <f t="shared" si="22"/>
        <v>ERROR</v>
      </c>
      <c r="N343" s="39" t="str">
        <f t="shared" si="23"/>
        <v>OK</v>
      </c>
      <c r="O343" t="s">
        <v>697</v>
      </c>
    </row>
    <row r="344" spans="3:15" x14ac:dyDescent="0.25">
      <c r="C344" s="1">
        <v>42937</v>
      </c>
      <c r="D344" s="5" t="s">
        <v>2</v>
      </c>
      <c r="E344" s="15">
        <v>30125926</v>
      </c>
      <c r="F344" s="4">
        <v>2581</v>
      </c>
      <c r="G344" t="s">
        <v>569</v>
      </c>
      <c r="I344" t="s">
        <v>1779</v>
      </c>
      <c r="J344" s="2" t="s">
        <v>570</v>
      </c>
      <c r="K344" s="39" t="str">
        <f t="shared" si="20"/>
        <v>SDC119786;RENEWAL</v>
      </c>
      <c r="L344" s="39" t="str">
        <f t="shared" si="21"/>
        <v>OK</v>
      </c>
      <c r="M344" s="39" t="str">
        <f t="shared" si="22"/>
        <v>ERROR</v>
      </c>
      <c r="N344" s="39" t="str">
        <f t="shared" si="23"/>
        <v>OK</v>
      </c>
      <c r="O344" t="s">
        <v>697</v>
      </c>
    </row>
    <row r="345" spans="3:15" x14ac:dyDescent="0.25">
      <c r="C345" s="1">
        <v>42937</v>
      </c>
      <c r="D345" s="5" t="s">
        <v>2</v>
      </c>
      <c r="E345" s="8">
        <v>10056559</v>
      </c>
      <c r="F345" s="4">
        <v>1125</v>
      </c>
      <c r="G345" t="s">
        <v>571</v>
      </c>
      <c r="I345" t="s">
        <v>1780</v>
      </c>
      <c r="J345" s="2" t="s">
        <v>572</v>
      </c>
      <c r="K345" s="39" t="str">
        <f t="shared" si="20"/>
        <v>SDC134454;RENEWAL</v>
      </c>
      <c r="L345" s="39" t="str">
        <f t="shared" si="21"/>
        <v>OK</v>
      </c>
      <c r="M345" s="39" t="str">
        <f t="shared" si="22"/>
        <v>ERROR</v>
      </c>
      <c r="N345" s="39" t="str">
        <f t="shared" si="23"/>
        <v>OK</v>
      </c>
      <c r="O345" t="s">
        <v>697</v>
      </c>
    </row>
    <row r="346" spans="3:15" x14ac:dyDescent="0.25">
      <c r="C346" s="1">
        <v>42937</v>
      </c>
      <c r="D346" s="5" t="s">
        <v>2</v>
      </c>
      <c r="E346" s="8">
        <v>10056106</v>
      </c>
      <c r="F346" s="4">
        <v>2114</v>
      </c>
      <c r="G346" t="s">
        <v>573</v>
      </c>
      <c r="I346" t="s">
        <v>1781</v>
      </c>
      <c r="J346" s="2" t="s">
        <v>574</v>
      </c>
      <c r="K346" s="39" t="str">
        <f t="shared" si="20"/>
        <v>SDC128630;RENEWAL</v>
      </c>
      <c r="L346" s="39" t="str">
        <f t="shared" si="21"/>
        <v>OK</v>
      </c>
      <c r="M346" s="39" t="str">
        <f t="shared" si="22"/>
        <v>ERROR</v>
      </c>
      <c r="N346" s="39" t="str">
        <f t="shared" si="23"/>
        <v>OK</v>
      </c>
      <c r="O346" t="s">
        <v>697</v>
      </c>
    </row>
    <row r="347" spans="3:15" x14ac:dyDescent="0.25">
      <c r="C347" s="1">
        <v>42937</v>
      </c>
      <c r="D347" s="5" t="s">
        <v>2</v>
      </c>
      <c r="E347" s="6">
        <v>10189416</v>
      </c>
      <c r="F347" s="4">
        <v>10072</v>
      </c>
      <c r="G347" t="s">
        <v>575</v>
      </c>
      <c r="I347" t="s">
        <v>1782</v>
      </c>
      <c r="J347" s="2" t="s">
        <v>576</v>
      </c>
      <c r="K347" s="39" t="str">
        <f t="shared" si="20"/>
        <v>SDC113170;RENEWAL</v>
      </c>
      <c r="L347" s="39" t="str">
        <f t="shared" si="21"/>
        <v>OK</v>
      </c>
      <c r="M347" s="39" t="str">
        <f t="shared" si="22"/>
        <v>ERROR</v>
      </c>
      <c r="N347" s="39" t="str">
        <f t="shared" si="23"/>
        <v>OK</v>
      </c>
      <c r="O347" t="s">
        <v>697</v>
      </c>
    </row>
    <row r="348" spans="3:15" x14ac:dyDescent="0.25">
      <c r="C348" s="1">
        <v>42937</v>
      </c>
      <c r="D348" s="5" t="s">
        <v>2</v>
      </c>
      <c r="E348" s="6">
        <v>30196236</v>
      </c>
      <c r="F348" s="4">
        <v>2000</v>
      </c>
      <c r="G348" t="s">
        <v>577</v>
      </c>
      <c r="I348" t="s">
        <v>1783</v>
      </c>
      <c r="J348" s="2" t="s">
        <v>578</v>
      </c>
      <c r="K348" s="39" t="str">
        <f t="shared" si="20"/>
        <v>SDC122616;RENEWAL</v>
      </c>
      <c r="L348" s="39" t="str">
        <f t="shared" si="21"/>
        <v>OK</v>
      </c>
      <c r="M348" s="39" t="str">
        <f t="shared" si="22"/>
        <v>ERROR</v>
      </c>
      <c r="N348" s="39" t="str">
        <f t="shared" si="23"/>
        <v>OK</v>
      </c>
      <c r="O348" t="s">
        <v>697</v>
      </c>
    </row>
    <row r="349" spans="3:15" x14ac:dyDescent="0.25">
      <c r="C349" s="1">
        <v>42937</v>
      </c>
      <c r="D349" s="5" t="s">
        <v>2</v>
      </c>
      <c r="E349" s="6">
        <v>30195346</v>
      </c>
      <c r="F349" s="4">
        <v>2181</v>
      </c>
      <c r="G349" t="s">
        <v>579</v>
      </c>
      <c r="I349" t="s">
        <v>1784</v>
      </c>
      <c r="J349" s="2" t="s">
        <v>580</v>
      </c>
      <c r="K349" s="39" t="str">
        <f t="shared" si="20"/>
        <v>SDC119447;RENEWAL</v>
      </c>
      <c r="L349" s="39" t="str">
        <f t="shared" si="21"/>
        <v>OK</v>
      </c>
      <c r="M349" s="39" t="str">
        <f t="shared" si="22"/>
        <v>ERROR</v>
      </c>
      <c r="N349" s="39" t="str">
        <f t="shared" si="23"/>
        <v>OK</v>
      </c>
      <c r="O349" t="s">
        <v>697</v>
      </c>
    </row>
    <row r="350" spans="3:15" x14ac:dyDescent="0.25">
      <c r="C350" s="1">
        <v>42937</v>
      </c>
      <c r="D350" s="5" t="s">
        <v>2</v>
      </c>
      <c r="E350" s="14">
        <v>10158856</v>
      </c>
      <c r="F350" s="4">
        <v>2424</v>
      </c>
      <c r="G350" t="s">
        <v>581</v>
      </c>
      <c r="I350" t="s">
        <v>1785</v>
      </c>
      <c r="J350" s="2" t="s">
        <v>582</v>
      </c>
      <c r="K350" s="39" t="str">
        <f t="shared" si="20"/>
        <v>SDC107321;RENEWAL</v>
      </c>
      <c r="L350" s="39" t="str">
        <f t="shared" si="21"/>
        <v>OK</v>
      </c>
      <c r="M350" s="39" t="str">
        <f t="shared" si="22"/>
        <v>ERROR</v>
      </c>
      <c r="N350" s="39" t="str">
        <f t="shared" si="23"/>
        <v>OK</v>
      </c>
      <c r="O350" t="s">
        <v>697</v>
      </c>
    </row>
    <row r="351" spans="3:15" x14ac:dyDescent="0.25">
      <c r="C351" s="1">
        <v>42937</v>
      </c>
      <c r="D351" s="5" t="s">
        <v>2</v>
      </c>
      <c r="E351" s="6">
        <v>10198436</v>
      </c>
      <c r="F351" s="4">
        <v>4400</v>
      </c>
      <c r="G351" t="s">
        <v>583</v>
      </c>
      <c r="I351" t="s">
        <v>1787</v>
      </c>
      <c r="J351" s="2" t="s">
        <v>584</v>
      </c>
      <c r="K351" s="39" t="str">
        <f t="shared" si="20"/>
        <v>SDC116405;RENEWAL</v>
      </c>
      <c r="L351" s="39" t="str">
        <f t="shared" si="21"/>
        <v>OK</v>
      </c>
      <c r="M351" s="39" t="str">
        <f t="shared" si="22"/>
        <v>ERROR</v>
      </c>
      <c r="N351" s="39" t="str">
        <f t="shared" si="23"/>
        <v>OK</v>
      </c>
      <c r="O351" t="s">
        <v>697</v>
      </c>
    </row>
    <row r="352" spans="3:15" x14ac:dyDescent="0.25">
      <c r="C352" s="1">
        <v>42937</v>
      </c>
      <c r="D352" s="5" t="s">
        <v>2</v>
      </c>
      <c r="E352" s="8">
        <v>10066545</v>
      </c>
      <c r="F352" s="4">
        <v>1072</v>
      </c>
      <c r="G352" t="s">
        <v>585</v>
      </c>
      <c r="I352" t="s">
        <v>1788</v>
      </c>
      <c r="J352" s="2" t="s">
        <v>586</v>
      </c>
      <c r="K352" s="39" t="str">
        <f t="shared" si="20"/>
        <v>SDC117972;RENEWAL</v>
      </c>
      <c r="L352" s="39" t="str">
        <f t="shared" si="21"/>
        <v>OK</v>
      </c>
      <c r="M352" s="39" t="str">
        <f t="shared" si="22"/>
        <v>ERROR</v>
      </c>
      <c r="N352" s="39" t="str">
        <f t="shared" si="23"/>
        <v>OK</v>
      </c>
      <c r="O352" t="s">
        <v>697</v>
      </c>
    </row>
    <row r="353" spans="3:15" x14ac:dyDescent="0.25">
      <c r="C353" s="1">
        <v>42937</v>
      </c>
      <c r="D353" s="5" t="s">
        <v>60</v>
      </c>
      <c r="E353" s="8">
        <v>10060822</v>
      </c>
      <c r="F353" s="4">
        <v>2220</v>
      </c>
      <c r="G353" t="s">
        <v>587</v>
      </c>
      <c r="I353" t="s">
        <v>1789</v>
      </c>
      <c r="J353" s="2" t="s">
        <v>588</v>
      </c>
      <c r="K353" s="39" t="str">
        <f t="shared" si="20"/>
        <v>SDC128077;RENEWAL</v>
      </c>
      <c r="L353" s="39" t="str">
        <f t="shared" si="21"/>
        <v>OK</v>
      </c>
      <c r="M353" s="39" t="str">
        <f t="shared" si="22"/>
        <v>ERROR</v>
      </c>
      <c r="N353" s="39" t="str">
        <f t="shared" si="23"/>
        <v>OK</v>
      </c>
      <c r="O353" t="s">
        <v>700</v>
      </c>
    </row>
    <row r="354" spans="3:15" x14ac:dyDescent="0.25">
      <c r="C354" s="1">
        <v>42937</v>
      </c>
      <c r="D354" s="5" t="s">
        <v>60</v>
      </c>
      <c r="E354" s="8">
        <v>10040478</v>
      </c>
      <c r="F354" s="4">
        <v>3172</v>
      </c>
      <c r="G354" t="s">
        <v>589</v>
      </c>
      <c r="I354" t="s">
        <v>1790</v>
      </c>
      <c r="J354" s="2" t="s">
        <v>590</v>
      </c>
      <c r="K354" s="39" t="str">
        <f t="shared" si="20"/>
        <v>SDC128001;RENEWAL</v>
      </c>
      <c r="L354" s="39" t="str">
        <f t="shared" si="21"/>
        <v>OK</v>
      </c>
      <c r="M354" s="39" t="str">
        <f t="shared" si="22"/>
        <v>ERROR</v>
      </c>
      <c r="N354" s="39" t="str">
        <f t="shared" si="23"/>
        <v>OK</v>
      </c>
      <c r="O354" t="s">
        <v>700</v>
      </c>
    </row>
    <row r="355" spans="3:15" x14ac:dyDescent="0.25">
      <c r="C355" s="1">
        <v>42937</v>
      </c>
      <c r="D355" s="5" t="s">
        <v>60</v>
      </c>
      <c r="E355" s="8">
        <v>10059168</v>
      </c>
      <c r="F355" s="4">
        <v>1156</v>
      </c>
      <c r="G355" t="s">
        <v>591</v>
      </c>
      <c r="I355" t="s">
        <v>1791</v>
      </c>
      <c r="J355" s="2" t="s">
        <v>592</v>
      </c>
      <c r="K355" s="39" t="str">
        <f t="shared" si="20"/>
        <v>SDC128038;RENEWAL</v>
      </c>
      <c r="L355" s="39" t="str">
        <f t="shared" si="21"/>
        <v>OK</v>
      </c>
      <c r="M355" s="39" t="str">
        <f t="shared" si="22"/>
        <v>ERROR</v>
      </c>
      <c r="N355" s="39" t="str">
        <f t="shared" si="23"/>
        <v>OK</v>
      </c>
      <c r="O355" t="s">
        <v>700</v>
      </c>
    </row>
    <row r="356" spans="3:15" x14ac:dyDescent="0.25">
      <c r="C356" s="1">
        <v>42937</v>
      </c>
      <c r="D356" s="5" t="s">
        <v>2</v>
      </c>
      <c r="E356" s="8">
        <v>10018878</v>
      </c>
      <c r="F356" s="4">
        <v>3018</v>
      </c>
      <c r="G356" t="s">
        <v>593</v>
      </c>
      <c r="I356" t="s">
        <v>1792</v>
      </c>
      <c r="J356" s="2" t="s">
        <v>594</v>
      </c>
      <c r="K356" s="39" t="str">
        <f t="shared" si="20"/>
        <v>SDC127269;RENEWAL</v>
      </c>
      <c r="L356" s="39" t="str">
        <f t="shared" si="21"/>
        <v>OK</v>
      </c>
      <c r="M356" s="39" t="str">
        <f t="shared" si="22"/>
        <v>ERROR</v>
      </c>
      <c r="N356" s="39" t="str">
        <f t="shared" si="23"/>
        <v>OK</v>
      </c>
      <c r="O356" t="s">
        <v>697</v>
      </c>
    </row>
    <row r="357" spans="3:15" x14ac:dyDescent="0.25">
      <c r="C357" s="1">
        <v>42937</v>
      </c>
      <c r="D357" s="5" t="s">
        <v>136</v>
      </c>
      <c r="E357" s="8">
        <v>10048372</v>
      </c>
      <c r="F357" s="4">
        <v>1001</v>
      </c>
      <c r="G357" t="s">
        <v>595</v>
      </c>
      <c r="I357" t="s">
        <v>1793</v>
      </c>
      <c r="J357" s="2" t="s">
        <v>596</v>
      </c>
      <c r="K357" s="39" t="str">
        <f t="shared" si="20"/>
        <v>SDC124788;RENEWAL</v>
      </c>
      <c r="L357" s="39" t="str">
        <f t="shared" si="21"/>
        <v>OK</v>
      </c>
      <c r="M357" s="39" t="str">
        <f t="shared" si="22"/>
        <v>ERROR</v>
      </c>
      <c r="N357" s="39" t="str">
        <f t="shared" si="23"/>
        <v>OK</v>
      </c>
      <c r="O357" t="s">
        <v>701</v>
      </c>
    </row>
    <row r="358" spans="3:15" x14ac:dyDescent="0.25">
      <c r="C358" s="1">
        <v>42937</v>
      </c>
      <c r="D358" s="5" t="s">
        <v>2</v>
      </c>
      <c r="E358" s="16">
        <v>10118988</v>
      </c>
      <c r="F358" s="4">
        <v>3075</v>
      </c>
      <c r="G358" t="s">
        <v>597</v>
      </c>
      <c r="I358" t="s">
        <v>1794</v>
      </c>
      <c r="J358" s="2" t="s">
        <v>598</v>
      </c>
      <c r="K358" s="39" t="str">
        <f t="shared" si="20"/>
        <v>SDC119542;RENEWAL</v>
      </c>
      <c r="L358" s="39" t="str">
        <f t="shared" si="21"/>
        <v>OK</v>
      </c>
      <c r="M358" s="39" t="str">
        <f t="shared" si="22"/>
        <v>ERROR</v>
      </c>
      <c r="N358" s="39" t="str">
        <f t="shared" si="23"/>
        <v>OK</v>
      </c>
      <c r="O358" t="s">
        <v>697</v>
      </c>
    </row>
    <row r="359" spans="3:15" x14ac:dyDescent="0.25">
      <c r="C359" s="1">
        <v>42937</v>
      </c>
      <c r="D359" s="5" t="s">
        <v>2</v>
      </c>
      <c r="E359" s="8">
        <v>10060551</v>
      </c>
      <c r="F359" s="4">
        <v>3103</v>
      </c>
      <c r="G359" t="s">
        <v>599</v>
      </c>
      <c r="I359" t="s">
        <v>1795</v>
      </c>
      <c r="J359" s="2" t="s">
        <v>600</v>
      </c>
      <c r="K359" s="39" t="str">
        <f t="shared" si="20"/>
        <v>SDC134481;RENEWAL</v>
      </c>
      <c r="L359" s="39" t="str">
        <f t="shared" si="21"/>
        <v>OK</v>
      </c>
      <c r="M359" s="39" t="str">
        <f t="shared" si="22"/>
        <v>ERROR</v>
      </c>
      <c r="N359" s="39" t="str">
        <f t="shared" si="23"/>
        <v>OK</v>
      </c>
      <c r="O359" t="s">
        <v>697</v>
      </c>
    </row>
    <row r="360" spans="3:15" x14ac:dyDescent="0.25">
      <c r="C360" s="1">
        <v>42937</v>
      </c>
      <c r="D360" s="5" t="s">
        <v>2</v>
      </c>
      <c r="E360" s="8">
        <v>10070843</v>
      </c>
      <c r="F360" s="4">
        <v>1383</v>
      </c>
      <c r="G360" t="s">
        <v>601</v>
      </c>
      <c r="I360" t="s">
        <v>1796</v>
      </c>
      <c r="J360" s="2" t="s">
        <v>602</v>
      </c>
      <c r="K360" s="39" t="str">
        <f t="shared" si="20"/>
        <v>SDC108526;RENEWAL</v>
      </c>
      <c r="L360" s="39" t="str">
        <f t="shared" si="21"/>
        <v>OK</v>
      </c>
      <c r="M360" s="39" t="str">
        <f t="shared" si="22"/>
        <v>ERROR</v>
      </c>
      <c r="N360" s="39" t="str">
        <f t="shared" si="23"/>
        <v>OK</v>
      </c>
      <c r="O360" t="s">
        <v>697</v>
      </c>
    </row>
    <row r="361" spans="3:15" x14ac:dyDescent="0.25">
      <c r="C361" s="1">
        <v>42937</v>
      </c>
      <c r="D361" s="5" t="s">
        <v>2</v>
      </c>
      <c r="E361" s="16">
        <v>30125914</v>
      </c>
      <c r="F361" s="4">
        <v>2558</v>
      </c>
      <c r="G361" t="s">
        <v>603</v>
      </c>
      <c r="I361" t="s">
        <v>1798</v>
      </c>
      <c r="J361" s="2" t="s">
        <v>604</v>
      </c>
      <c r="K361" s="39" t="str">
        <f t="shared" si="20"/>
        <v>SDC119784;RENEWAL</v>
      </c>
      <c r="L361" s="39" t="str">
        <f t="shared" si="21"/>
        <v>OK</v>
      </c>
      <c r="M361" s="39" t="str">
        <f t="shared" si="22"/>
        <v>ERROR</v>
      </c>
      <c r="N361" s="39" t="str">
        <f t="shared" si="23"/>
        <v>OK</v>
      </c>
      <c r="O361" t="s">
        <v>697</v>
      </c>
    </row>
    <row r="362" spans="3:15" x14ac:dyDescent="0.25">
      <c r="C362" s="1">
        <v>42937</v>
      </c>
      <c r="D362" s="5" t="s">
        <v>2</v>
      </c>
      <c r="E362" s="16">
        <v>30143434</v>
      </c>
      <c r="F362" s="4">
        <v>3568</v>
      </c>
      <c r="G362" t="s">
        <v>605</v>
      </c>
      <c r="I362" t="s">
        <v>1799</v>
      </c>
      <c r="J362" s="2" t="s">
        <v>606</v>
      </c>
      <c r="K362" s="39" t="str">
        <f t="shared" si="20"/>
        <v>SDC129043;RENEWAL</v>
      </c>
      <c r="L362" s="39" t="str">
        <f t="shared" si="21"/>
        <v>OK</v>
      </c>
      <c r="M362" s="39" t="str">
        <f t="shared" si="22"/>
        <v>ERROR</v>
      </c>
      <c r="N362" s="39" t="str">
        <f t="shared" si="23"/>
        <v>OK</v>
      </c>
      <c r="O362" t="s">
        <v>697</v>
      </c>
    </row>
    <row r="363" spans="3:15" x14ac:dyDescent="0.25">
      <c r="C363" s="1">
        <v>42937</v>
      </c>
      <c r="D363" s="17" t="s">
        <v>608</v>
      </c>
      <c r="E363" s="3">
        <v>10006756</v>
      </c>
      <c r="F363" s="4">
        <v>610</v>
      </c>
      <c r="G363" t="s">
        <v>607</v>
      </c>
      <c r="I363" t="s">
        <v>1800</v>
      </c>
      <c r="J363" s="2">
        <v>10006756</v>
      </c>
      <c r="K363" s="39" t="str">
        <f t="shared" si="20"/>
        <v>SDC160397;RENEWAL</v>
      </c>
      <c r="L363" s="39" t="str">
        <f t="shared" si="21"/>
        <v>OK</v>
      </c>
      <c r="M363" s="39" t="str">
        <f t="shared" si="22"/>
        <v>ERROR</v>
      </c>
      <c r="N363" s="39" t="str">
        <f t="shared" si="23"/>
        <v>OK</v>
      </c>
      <c r="O363" t="s">
        <v>707</v>
      </c>
    </row>
    <row r="364" spans="3:15" x14ac:dyDescent="0.25">
      <c r="C364" s="1">
        <v>42937</v>
      </c>
      <c r="D364" s="17" t="s">
        <v>608</v>
      </c>
      <c r="E364" s="3">
        <v>10006756</v>
      </c>
      <c r="F364" s="4">
        <v>610</v>
      </c>
      <c r="G364" t="s">
        <v>607</v>
      </c>
      <c r="I364" t="s">
        <v>1800</v>
      </c>
      <c r="J364" s="2">
        <v>10006756</v>
      </c>
      <c r="K364" s="39" t="str">
        <f t="shared" si="20"/>
        <v>SDC160397;RENEWAL</v>
      </c>
      <c r="L364" s="39" t="str">
        <f t="shared" si="21"/>
        <v>OK</v>
      </c>
      <c r="M364" s="39" t="str">
        <f t="shared" si="22"/>
        <v>ERROR</v>
      </c>
      <c r="N364" s="39" t="str">
        <f t="shared" si="23"/>
        <v>OK</v>
      </c>
      <c r="O364" t="s">
        <v>707</v>
      </c>
    </row>
    <row r="365" spans="3:15" x14ac:dyDescent="0.25">
      <c r="C365" s="1">
        <v>42937</v>
      </c>
      <c r="D365" s="17" t="s">
        <v>608</v>
      </c>
      <c r="E365" s="3">
        <v>10006757</v>
      </c>
      <c r="F365" s="4">
        <v>610</v>
      </c>
      <c r="G365" t="s">
        <v>609</v>
      </c>
      <c r="I365" t="s">
        <v>1802</v>
      </c>
      <c r="J365" s="2">
        <v>10006757</v>
      </c>
      <c r="K365" s="39" t="str">
        <f t="shared" si="20"/>
        <v>SDC160449;RENEWAL</v>
      </c>
      <c r="L365" s="39" t="str">
        <f t="shared" si="21"/>
        <v>OK</v>
      </c>
      <c r="M365" s="39" t="str">
        <f t="shared" si="22"/>
        <v>ERROR</v>
      </c>
      <c r="N365" s="39" t="str">
        <f t="shared" si="23"/>
        <v>OK</v>
      </c>
      <c r="O365" t="s">
        <v>707</v>
      </c>
    </row>
    <row r="366" spans="3:15" x14ac:dyDescent="0.25">
      <c r="C366" s="1">
        <v>42937</v>
      </c>
      <c r="D366" s="17" t="s">
        <v>608</v>
      </c>
      <c r="E366" s="3">
        <v>10006757</v>
      </c>
      <c r="F366" s="4">
        <v>610</v>
      </c>
      <c r="G366" t="s">
        <v>609</v>
      </c>
      <c r="I366" t="s">
        <v>1802</v>
      </c>
      <c r="J366" s="2">
        <v>10006757</v>
      </c>
      <c r="K366" s="39" t="str">
        <f t="shared" si="20"/>
        <v>SDC160449;RENEWAL</v>
      </c>
      <c r="L366" s="39" t="str">
        <f t="shared" si="21"/>
        <v>OK</v>
      </c>
      <c r="M366" s="39" t="str">
        <f t="shared" si="22"/>
        <v>ERROR</v>
      </c>
      <c r="N366" s="39" t="str">
        <f t="shared" si="23"/>
        <v>OK</v>
      </c>
      <c r="O366" t="s">
        <v>707</v>
      </c>
    </row>
    <row r="367" spans="3:15" x14ac:dyDescent="0.25">
      <c r="C367" s="1">
        <v>42937</v>
      </c>
      <c r="D367" s="17" t="s">
        <v>608</v>
      </c>
      <c r="E367" s="6">
        <v>10030285</v>
      </c>
      <c r="F367" s="4">
        <v>10158</v>
      </c>
      <c r="G367" t="s">
        <v>610</v>
      </c>
      <c r="I367" t="s">
        <v>1804</v>
      </c>
      <c r="J367" s="2" t="s">
        <v>611</v>
      </c>
      <c r="K367" s="39" t="str">
        <f t="shared" si="20"/>
        <v>SDC139044;RENEWAL</v>
      </c>
      <c r="L367" s="39" t="str">
        <f t="shared" si="21"/>
        <v>OK</v>
      </c>
      <c r="M367" s="39" t="str">
        <f t="shared" si="22"/>
        <v>ERROR</v>
      </c>
      <c r="N367" s="39" t="str">
        <f t="shared" si="23"/>
        <v>OK</v>
      </c>
      <c r="O367" t="s">
        <v>707</v>
      </c>
    </row>
    <row r="368" spans="3:15" x14ac:dyDescent="0.25">
      <c r="C368" s="1">
        <v>42937</v>
      </c>
      <c r="D368" s="17" t="s">
        <v>608</v>
      </c>
      <c r="E368" s="6">
        <v>10030285</v>
      </c>
      <c r="F368" s="4">
        <v>10158</v>
      </c>
      <c r="G368" t="s">
        <v>610</v>
      </c>
      <c r="I368" t="s">
        <v>1804</v>
      </c>
      <c r="J368" s="2" t="s">
        <v>611</v>
      </c>
      <c r="K368" s="39" t="str">
        <f t="shared" si="20"/>
        <v>SDC139044;RENEWAL</v>
      </c>
      <c r="L368" s="39" t="str">
        <f t="shared" si="21"/>
        <v>OK</v>
      </c>
      <c r="M368" s="39" t="str">
        <f t="shared" si="22"/>
        <v>ERROR</v>
      </c>
      <c r="N368" s="39" t="str">
        <f t="shared" si="23"/>
        <v>OK</v>
      </c>
      <c r="O368" t="s">
        <v>707</v>
      </c>
    </row>
    <row r="369" spans="3:15" x14ac:dyDescent="0.25">
      <c r="C369" s="1">
        <v>42937</v>
      </c>
      <c r="D369" s="17" t="s">
        <v>608</v>
      </c>
      <c r="E369" s="6">
        <v>10037814</v>
      </c>
      <c r="F369" s="4">
        <v>2000</v>
      </c>
      <c r="G369" t="s">
        <v>612</v>
      </c>
      <c r="I369" t="s">
        <v>1806</v>
      </c>
      <c r="J369" s="2" t="s">
        <v>613</v>
      </c>
      <c r="K369" s="39" t="str">
        <f t="shared" si="20"/>
        <v>SDC139045;RENEWAL</v>
      </c>
      <c r="L369" s="39" t="str">
        <f t="shared" si="21"/>
        <v>OK</v>
      </c>
      <c r="M369" s="39" t="str">
        <f t="shared" si="22"/>
        <v>ERROR</v>
      </c>
      <c r="N369" s="39" t="str">
        <f t="shared" si="23"/>
        <v>OK</v>
      </c>
      <c r="O369" t="s">
        <v>707</v>
      </c>
    </row>
    <row r="370" spans="3:15" x14ac:dyDescent="0.25">
      <c r="C370" s="1">
        <v>42937</v>
      </c>
      <c r="D370" s="17" t="s">
        <v>608</v>
      </c>
      <c r="E370" s="6">
        <v>10037814</v>
      </c>
      <c r="F370" s="4">
        <v>2000</v>
      </c>
      <c r="G370" t="s">
        <v>612</v>
      </c>
      <c r="I370" t="s">
        <v>1806</v>
      </c>
      <c r="J370" s="2" t="s">
        <v>613</v>
      </c>
      <c r="K370" s="39" t="str">
        <f t="shared" si="20"/>
        <v>SDC139045;RENEWAL</v>
      </c>
      <c r="L370" s="39" t="str">
        <f t="shared" si="21"/>
        <v>OK</v>
      </c>
      <c r="M370" s="39" t="str">
        <f t="shared" si="22"/>
        <v>ERROR</v>
      </c>
      <c r="N370" s="39" t="str">
        <f t="shared" si="23"/>
        <v>OK</v>
      </c>
      <c r="O370" t="s">
        <v>707</v>
      </c>
    </row>
    <row r="371" spans="3:15" x14ac:dyDescent="0.25">
      <c r="C371" s="1">
        <v>42937</v>
      </c>
      <c r="D371" s="17" t="s">
        <v>608</v>
      </c>
      <c r="E371" s="3">
        <v>10058900</v>
      </c>
      <c r="F371" s="4">
        <v>1500</v>
      </c>
      <c r="G371" t="s">
        <v>614</v>
      </c>
      <c r="I371" t="s">
        <v>1809</v>
      </c>
      <c r="J371" s="2">
        <v>10058900</v>
      </c>
      <c r="K371" s="39" t="str">
        <f t="shared" si="20"/>
        <v>SDC161033;RENEWAL</v>
      </c>
      <c r="L371" s="39" t="str">
        <f t="shared" si="21"/>
        <v>OK</v>
      </c>
      <c r="M371" s="39" t="str">
        <f t="shared" si="22"/>
        <v>ERROR</v>
      </c>
      <c r="N371" s="39" t="str">
        <f t="shared" si="23"/>
        <v>OK</v>
      </c>
      <c r="O371" t="s">
        <v>707</v>
      </c>
    </row>
    <row r="372" spans="3:15" x14ac:dyDescent="0.25">
      <c r="C372" s="1">
        <v>42937</v>
      </c>
      <c r="D372" s="17" t="s">
        <v>608</v>
      </c>
      <c r="E372" s="3">
        <v>10058900</v>
      </c>
      <c r="F372" s="4">
        <v>1500</v>
      </c>
      <c r="G372" t="s">
        <v>614</v>
      </c>
      <c r="I372" t="s">
        <v>1809</v>
      </c>
      <c r="J372" s="2">
        <v>10058900</v>
      </c>
      <c r="K372" s="39" t="str">
        <f t="shared" si="20"/>
        <v>SDC161033;RENEWAL</v>
      </c>
      <c r="L372" s="39" t="str">
        <f t="shared" si="21"/>
        <v>OK</v>
      </c>
      <c r="M372" s="39" t="str">
        <f t="shared" si="22"/>
        <v>ERROR</v>
      </c>
      <c r="N372" s="39" t="str">
        <f t="shared" si="23"/>
        <v>OK</v>
      </c>
      <c r="O372" t="s">
        <v>707</v>
      </c>
    </row>
    <row r="373" spans="3:15" x14ac:dyDescent="0.25">
      <c r="C373" s="1">
        <v>42937</v>
      </c>
      <c r="D373" s="17" t="s">
        <v>608</v>
      </c>
      <c r="E373" s="3">
        <v>10079891</v>
      </c>
      <c r="F373" s="4">
        <v>810</v>
      </c>
      <c r="G373" t="s">
        <v>615</v>
      </c>
      <c r="I373" t="s">
        <v>1811</v>
      </c>
      <c r="J373" s="2">
        <v>10079891</v>
      </c>
      <c r="K373" s="39" t="str">
        <f t="shared" si="20"/>
        <v>SDC162699;RENEWAL</v>
      </c>
      <c r="L373" s="39" t="str">
        <f t="shared" si="21"/>
        <v>OK</v>
      </c>
      <c r="M373" s="39" t="str">
        <f t="shared" si="22"/>
        <v>ERROR</v>
      </c>
      <c r="N373" s="39" t="str">
        <f t="shared" si="23"/>
        <v>OK</v>
      </c>
      <c r="O373" t="s">
        <v>707</v>
      </c>
    </row>
    <row r="374" spans="3:15" x14ac:dyDescent="0.25">
      <c r="C374" s="1">
        <v>42937</v>
      </c>
      <c r="D374" s="17" t="s">
        <v>608</v>
      </c>
      <c r="E374" s="3">
        <v>10134446</v>
      </c>
      <c r="F374" s="4">
        <v>1500</v>
      </c>
      <c r="G374" t="s">
        <v>616</v>
      </c>
      <c r="I374" t="s">
        <v>1812</v>
      </c>
      <c r="J374" s="2">
        <v>10134446</v>
      </c>
      <c r="K374" s="39" t="str">
        <f t="shared" si="20"/>
        <v>SDC161180;RENEWAL</v>
      </c>
      <c r="L374" s="39" t="str">
        <f t="shared" si="21"/>
        <v>OK</v>
      </c>
      <c r="M374" s="39" t="str">
        <f t="shared" si="22"/>
        <v>ERROR</v>
      </c>
      <c r="N374" s="39" t="str">
        <f t="shared" si="23"/>
        <v>OK</v>
      </c>
      <c r="O374" t="s">
        <v>707</v>
      </c>
    </row>
    <row r="375" spans="3:15" x14ac:dyDescent="0.25">
      <c r="C375" s="1">
        <v>42937</v>
      </c>
      <c r="D375" s="17" t="s">
        <v>608</v>
      </c>
      <c r="E375" s="3">
        <v>10134446</v>
      </c>
      <c r="F375" s="4">
        <v>1500</v>
      </c>
      <c r="G375" t="s">
        <v>616</v>
      </c>
      <c r="I375" t="s">
        <v>1812</v>
      </c>
      <c r="J375" s="2">
        <v>10134446</v>
      </c>
      <c r="K375" s="39" t="str">
        <f t="shared" si="20"/>
        <v>SDC161180;RENEWAL</v>
      </c>
      <c r="L375" s="39" t="str">
        <f t="shared" si="21"/>
        <v>OK</v>
      </c>
      <c r="M375" s="39" t="str">
        <f t="shared" si="22"/>
        <v>ERROR</v>
      </c>
      <c r="N375" s="39" t="str">
        <f t="shared" si="23"/>
        <v>OK</v>
      </c>
      <c r="O375" t="s">
        <v>707</v>
      </c>
    </row>
    <row r="376" spans="3:15" x14ac:dyDescent="0.25">
      <c r="C376" s="1">
        <v>42937</v>
      </c>
      <c r="D376" s="17" t="s">
        <v>608</v>
      </c>
      <c r="E376" s="3">
        <v>10149007</v>
      </c>
      <c r="F376" s="4">
        <v>4000</v>
      </c>
      <c r="G376" t="s">
        <v>617</v>
      </c>
      <c r="I376" t="s">
        <v>1814</v>
      </c>
      <c r="J376" s="2">
        <v>10149007</v>
      </c>
      <c r="K376" s="39" t="str">
        <f t="shared" si="20"/>
        <v>SDC161661;RENEWAL</v>
      </c>
      <c r="L376" s="39" t="str">
        <f t="shared" si="21"/>
        <v>OK</v>
      </c>
      <c r="M376" s="39" t="str">
        <f t="shared" si="22"/>
        <v>ERROR</v>
      </c>
      <c r="N376" s="39" t="str">
        <f t="shared" si="23"/>
        <v>OK</v>
      </c>
      <c r="O376" t="s">
        <v>707</v>
      </c>
    </row>
    <row r="377" spans="3:15" x14ac:dyDescent="0.25">
      <c r="C377" s="1">
        <v>42937</v>
      </c>
      <c r="D377" s="17" t="s">
        <v>608</v>
      </c>
      <c r="E377" s="3">
        <v>10149007</v>
      </c>
      <c r="F377" s="4">
        <v>4000</v>
      </c>
      <c r="G377" t="s">
        <v>617</v>
      </c>
      <c r="I377" t="s">
        <v>1814</v>
      </c>
      <c r="J377" s="2">
        <v>10149007</v>
      </c>
      <c r="K377" s="39" t="str">
        <f t="shared" si="20"/>
        <v>SDC161661;RENEWAL</v>
      </c>
      <c r="L377" s="39" t="str">
        <f t="shared" si="21"/>
        <v>OK</v>
      </c>
      <c r="M377" s="39" t="str">
        <f t="shared" si="22"/>
        <v>ERROR</v>
      </c>
      <c r="N377" s="39" t="str">
        <f t="shared" si="23"/>
        <v>OK</v>
      </c>
      <c r="O377" t="s">
        <v>707</v>
      </c>
    </row>
    <row r="378" spans="3:15" x14ac:dyDescent="0.25">
      <c r="C378" s="1">
        <v>42937</v>
      </c>
      <c r="D378" s="17" t="s">
        <v>608</v>
      </c>
      <c r="E378" s="3">
        <v>10190229</v>
      </c>
      <c r="F378" s="4">
        <v>2586</v>
      </c>
      <c r="G378" t="s">
        <v>618</v>
      </c>
      <c r="I378" t="s">
        <v>1816</v>
      </c>
      <c r="J378" s="2">
        <v>10190229</v>
      </c>
      <c r="K378" s="39" t="str">
        <f t="shared" si="20"/>
        <v>SDC160564;RENEWAL</v>
      </c>
      <c r="L378" s="39" t="str">
        <f t="shared" si="21"/>
        <v>OK</v>
      </c>
      <c r="M378" s="39" t="str">
        <f t="shared" si="22"/>
        <v>ERROR</v>
      </c>
      <c r="N378" s="39" t="str">
        <f t="shared" si="23"/>
        <v>OK</v>
      </c>
      <c r="O378" t="s">
        <v>707</v>
      </c>
    </row>
    <row r="379" spans="3:15" x14ac:dyDescent="0.25">
      <c r="C379" s="1">
        <v>42937</v>
      </c>
      <c r="D379" s="17" t="s">
        <v>608</v>
      </c>
      <c r="E379" s="3">
        <v>10190229</v>
      </c>
      <c r="F379" s="4">
        <v>2586</v>
      </c>
      <c r="G379" t="s">
        <v>618</v>
      </c>
      <c r="I379" t="s">
        <v>1816</v>
      </c>
      <c r="J379" s="2">
        <v>10190229</v>
      </c>
      <c r="K379" s="39" t="str">
        <f t="shared" si="20"/>
        <v>SDC160564;RENEWAL</v>
      </c>
      <c r="L379" s="39" t="str">
        <f t="shared" si="21"/>
        <v>OK</v>
      </c>
      <c r="M379" s="39" t="str">
        <f t="shared" si="22"/>
        <v>ERROR</v>
      </c>
      <c r="N379" s="39" t="str">
        <f t="shared" si="23"/>
        <v>OK</v>
      </c>
      <c r="O379" t="s">
        <v>707</v>
      </c>
    </row>
    <row r="380" spans="3:15" x14ac:dyDescent="0.25">
      <c r="C380" s="1">
        <v>42937</v>
      </c>
      <c r="D380" s="17" t="s">
        <v>608</v>
      </c>
      <c r="E380" s="6">
        <v>10190963</v>
      </c>
      <c r="F380" s="4">
        <v>25159</v>
      </c>
      <c r="G380" t="s">
        <v>619</v>
      </c>
      <c r="I380" t="s">
        <v>1818</v>
      </c>
      <c r="J380" s="2" t="s">
        <v>620</v>
      </c>
      <c r="K380" s="39" t="str">
        <f t="shared" si="20"/>
        <v>SDC139042;RENEWAL</v>
      </c>
      <c r="L380" s="39" t="str">
        <f t="shared" si="21"/>
        <v>OK</v>
      </c>
      <c r="M380" s="39" t="str">
        <f t="shared" si="22"/>
        <v>ERROR</v>
      </c>
      <c r="N380" s="39" t="str">
        <f t="shared" si="23"/>
        <v>OK</v>
      </c>
      <c r="O380" t="s">
        <v>707</v>
      </c>
    </row>
    <row r="381" spans="3:15" x14ac:dyDescent="0.25">
      <c r="C381" s="1">
        <v>42937</v>
      </c>
      <c r="D381" s="17" t="s">
        <v>608</v>
      </c>
      <c r="E381" s="6">
        <v>10190963</v>
      </c>
      <c r="F381" s="4">
        <v>25159</v>
      </c>
      <c r="G381" t="s">
        <v>619</v>
      </c>
      <c r="I381" t="s">
        <v>1818</v>
      </c>
      <c r="J381" s="2" t="s">
        <v>620</v>
      </c>
      <c r="K381" s="39" t="str">
        <f t="shared" si="20"/>
        <v>SDC139042;RENEWAL</v>
      </c>
      <c r="L381" s="39" t="str">
        <f t="shared" si="21"/>
        <v>OK</v>
      </c>
      <c r="M381" s="39" t="str">
        <f t="shared" si="22"/>
        <v>ERROR</v>
      </c>
      <c r="N381" s="39" t="str">
        <f t="shared" si="23"/>
        <v>OK</v>
      </c>
      <c r="O381" t="s">
        <v>707</v>
      </c>
    </row>
    <row r="382" spans="3:15" x14ac:dyDescent="0.25">
      <c r="C382" s="1">
        <v>42937</v>
      </c>
      <c r="D382" s="17" t="s">
        <v>608</v>
      </c>
      <c r="E382" s="6">
        <v>10196299</v>
      </c>
      <c r="F382" s="4">
        <v>20862</v>
      </c>
      <c r="G382" t="s">
        <v>621</v>
      </c>
      <c r="I382" t="s">
        <v>1821</v>
      </c>
      <c r="J382" s="2" t="s">
        <v>622</v>
      </c>
      <c r="K382" s="39" t="str">
        <f t="shared" si="20"/>
        <v>SDC139036;RENEWAL</v>
      </c>
      <c r="L382" s="39" t="str">
        <f t="shared" si="21"/>
        <v>OK</v>
      </c>
      <c r="M382" s="39" t="str">
        <f t="shared" si="22"/>
        <v>ERROR</v>
      </c>
      <c r="N382" s="39" t="str">
        <f t="shared" si="23"/>
        <v>OK</v>
      </c>
      <c r="O382" t="s">
        <v>707</v>
      </c>
    </row>
    <row r="383" spans="3:15" x14ac:dyDescent="0.25">
      <c r="C383" s="1">
        <v>42937</v>
      </c>
      <c r="D383" s="17" t="s">
        <v>608</v>
      </c>
      <c r="E383" s="6">
        <v>10196299</v>
      </c>
      <c r="F383" s="4">
        <v>20862</v>
      </c>
      <c r="G383" t="s">
        <v>621</v>
      </c>
      <c r="I383" t="s">
        <v>1821</v>
      </c>
      <c r="J383" s="2" t="s">
        <v>622</v>
      </c>
      <c r="K383" s="39" t="str">
        <f t="shared" si="20"/>
        <v>SDC139036;RENEWAL</v>
      </c>
      <c r="L383" s="39" t="str">
        <f t="shared" si="21"/>
        <v>OK</v>
      </c>
      <c r="M383" s="39" t="str">
        <f t="shared" si="22"/>
        <v>ERROR</v>
      </c>
      <c r="N383" s="39" t="str">
        <f t="shared" si="23"/>
        <v>OK</v>
      </c>
      <c r="O383" t="s">
        <v>707</v>
      </c>
    </row>
    <row r="384" spans="3:15" x14ac:dyDescent="0.25">
      <c r="C384" s="1">
        <v>42937</v>
      </c>
      <c r="D384" s="17" t="s">
        <v>608</v>
      </c>
      <c r="E384" s="6">
        <v>10206327</v>
      </c>
      <c r="F384" s="4">
        <v>81051</v>
      </c>
      <c r="G384" t="s">
        <v>623</v>
      </c>
      <c r="I384" t="s">
        <v>1823</v>
      </c>
      <c r="J384" s="2" t="s">
        <v>624</v>
      </c>
      <c r="K384" s="39" t="str">
        <f t="shared" si="20"/>
        <v>SDC139043;RENEWAL</v>
      </c>
      <c r="L384" s="39" t="str">
        <f t="shared" si="21"/>
        <v>OK</v>
      </c>
      <c r="M384" s="39" t="str">
        <f t="shared" si="22"/>
        <v>ERROR</v>
      </c>
      <c r="N384" s="39" t="str">
        <f t="shared" si="23"/>
        <v>OK</v>
      </c>
      <c r="O384" t="s">
        <v>707</v>
      </c>
    </row>
    <row r="385" spans="3:15" x14ac:dyDescent="0.25">
      <c r="C385" s="1">
        <v>42937</v>
      </c>
      <c r="D385" s="17" t="s">
        <v>608</v>
      </c>
      <c r="E385" s="6">
        <v>10206327</v>
      </c>
      <c r="F385" s="4">
        <v>81051</v>
      </c>
      <c r="G385" t="s">
        <v>623</v>
      </c>
      <c r="I385" t="s">
        <v>1823</v>
      </c>
      <c r="J385" s="2" t="s">
        <v>624</v>
      </c>
      <c r="K385" s="39" t="str">
        <f t="shared" si="20"/>
        <v>SDC139043;RENEWAL</v>
      </c>
      <c r="L385" s="39" t="str">
        <f t="shared" si="21"/>
        <v>OK</v>
      </c>
      <c r="M385" s="39" t="str">
        <f t="shared" si="22"/>
        <v>ERROR</v>
      </c>
      <c r="N385" s="39" t="str">
        <f t="shared" si="23"/>
        <v>OK</v>
      </c>
      <c r="O385" t="s">
        <v>707</v>
      </c>
    </row>
    <row r="386" spans="3:15" x14ac:dyDescent="0.25">
      <c r="C386" s="1">
        <v>42937</v>
      </c>
      <c r="D386" s="17" t="s">
        <v>608</v>
      </c>
      <c r="E386" s="6">
        <v>10215416</v>
      </c>
      <c r="F386" s="4">
        <v>3275</v>
      </c>
      <c r="G386" t="s">
        <v>625</v>
      </c>
      <c r="I386" t="s">
        <v>1825</v>
      </c>
      <c r="J386" s="2" t="s">
        <v>626</v>
      </c>
      <c r="K386" s="39" t="str">
        <f t="shared" si="20"/>
        <v>SDC139048;RENEWAL</v>
      </c>
      <c r="L386" s="39" t="str">
        <f t="shared" si="21"/>
        <v>OK</v>
      </c>
      <c r="M386" s="39" t="str">
        <f t="shared" si="22"/>
        <v>ERROR</v>
      </c>
      <c r="N386" s="39" t="str">
        <f t="shared" si="23"/>
        <v>OK</v>
      </c>
      <c r="O386" t="s">
        <v>707</v>
      </c>
    </row>
    <row r="387" spans="3:15" x14ac:dyDescent="0.25">
      <c r="C387" s="1">
        <v>42937</v>
      </c>
      <c r="D387" s="17" t="s">
        <v>608</v>
      </c>
      <c r="E387" s="6">
        <v>10215416</v>
      </c>
      <c r="F387" s="4">
        <v>3275</v>
      </c>
      <c r="G387" t="s">
        <v>625</v>
      </c>
      <c r="I387" t="s">
        <v>1825</v>
      </c>
      <c r="J387" s="2" t="s">
        <v>626</v>
      </c>
      <c r="K387" s="39" t="str">
        <f t="shared" ref="K387:K426" si="24">SUBSTITUTE(TRIM(MID(H387,7,4)&amp;G387&amp;";RENEWAL")," ","")</f>
        <v>SDC139048;RENEWAL</v>
      </c>
      <c r="L387" s="39" t="str">
        <f t="shared" ref="L387:L426" si="25">IF(ISERROR(SUBSTITUTE(SUBSTITUTE(K387,LEFT(K387,6),""),RIGHT(SUBSTITUTE(K387,LEFT(K387,6),""),10),"")*1)&amp;" ¦ "&amp;ISERROR(SUBSTITUTE(SUBSTITUTE(K387,LEFT(K387,7),""),RIGHT(SUBSTITUTE(K387,LEFT(K387,7),""),10),"")*1)="TRUE ¦ TRUE","ERROR","OK")</f>
        <v>OK</v>
      </c>
      <c r="M387" s="39" t="str">
        <f t="shared" ref="M387:M426" si="26">IF(ISERROR(LEFT(K387,3)*1)=TRUE,"ERROR","OK")</f>
        <v>ERROR</v>
      </c>
      <c r="N387" s="39" t="str">
        <f t="shared" ref="N387:N426" si="27">IF(RIGHT(K387,8)=";RENEWAL","OK","ERROR")</f>
        <v>OK</v>
      </c>
      <c r="O387" t="s">
        <v>707</v>
      </c>
    </row>
    <row r="388" spans="3:15" x14ac:dyDescent="0.25">
      <c r="C388" s="1">
        <v>42937</v>
      </c>
      <c r="D388" s="17" t="s">
        <v>608</v>
      </c>
      <c r="E388" s="6">
        <v>10258304</v>
      </c>
      <c r="F388" s="4">
        <v>3550</v>
      </c>
      <c r="G388" t="s">
        <v>627</v>
      </c>
      <c r="I388" t="s">
        <v>1827</v>
      </c>
      <c r="J388" s="2" t="s">
        <v>628</v>
      </c>
      <c r="K388" s="39" t="str">
        <f t="shared" si="24"/>
        <v>SDC139006;RENEWAL</v>
      </c>
      <c r="L388" s="39" t="str">
        <f t="shared" si="25"/>
        <v>OK</v>
      </c>
      <c r="M388" s="39" t="str">
        <f t="shared" si="26"/>
        <v>ERROR</v>
      </c>
      <c r="N388" s="39" t="str">
        <f t="shared" si="27"/>
        <v>OK</v>
      </c>
      <c r="O388" t="s">
        <v>707</v>
      </c>
    </row>
    <row r="389" spans="3:15" x14ac:dyDescent="0.25">
      <c r="C389" s="1">
        <v>42937</v>
      </c>
      <c r="D389" s="17" t="s">
        <v>608</v>
      </c>
      <c r="E389" s="6">
        <v>10258304</v>
      </c>
      <c r="F389" s="4">
        <v>3550</v>
      </c>
      <c r="G389" t="s">
        <v>627</v>
      </c>
      <c r="I389" t="s">
        <v>1827</v>
      </c>
      <c r="J389" s="2" t="s">
        <v>628</v>
      </c>
      <c r="K389" s="39" t="str">
        <f t="shared" si="24"/>
        <v>SDC139006;RENEWAL</v>
      </c>
      <c r="L389" s="39" t="str">
        <f t="shared" si="25"/>
        <v>OK</v>
      </c>
      <c r="M389" s="39" t="str">
        <f t="shared" si="26"/>
        <v>ERROR</v>
      </c>
      <c r="N389" s="39" t="str">
        <f t="shared" si="27"/>
        <v>OK</v>
      </c>
      <c r="O389" t="s">
        <v>707</v>
      </c>
    </row>
    <row r="390" spans="3:15" x14ac:dyDescent="0.25">
      <c r="C390" s="1">
        <v>42937</v>
      </c>
      <c r="D390" s="17" t="s">
        <v>608</v>
      </c>
      <c r="E390" s="3">
        <v>10277489</v>
      </c>
      <c r="F390" s="4">
        <v>3200</v>
      </c>
      <c r="G390" t="s">
        <v>629</v>
      </c>
      <c r="I390" t="s">
        <v>1829</v>
      </c>
      <c r="J390" s="2">
        <v>10277489</v>
      </c>
      <c r="K390" s="39" t="str">
        <f t="shared" si="24"/>
        <v>SDC161520;RENEWAL</v>
      </c>
      <c r="L390" s="39" t="str">
        <f t="shared" si="25"/>
        <v>OK</v>
      </c>
      <c r="M390" s="39" t="str">
        <f t="shared" si="26"/>
        <v>ERROR</v>
      </c>
      <c r="N390" s="39" t="str">
        <f t="shared" si="27"/>
        <v>OK</v>
      </c>
      <c r="O390" t="s">
        <v>707</v>
      </c>
    </row>
    <row r="391" spans="3:15" x14ac:dyDescent="0.25">
      <c r="C391" s="1">
        <v>42937</v>
      </c>
      <c r="D391" s="17" t="s">
        <v>608</v>
      </c>
      <c r="E391" s="3">
        <v>10277489</v>
      </c>
      <c r="F391" s="4">
        <v>3200</v>
      </c>
      <c r="G391" t="s">
        <v>629</v>
      </c>
      <c r="I391" t="s">
        <v>1829</v>
      </c>
      <c r="J391" s="2">
        <v>10277489</v>
      </c>
      <c r="K391" s="39" t="str">
        <f t="shared" si="24"/>
        <v>SDC161520;RENEWAL</v>
      </c>
      <c r="L391" s="39" t="str">
        <f t="shared" si="25"/>
        <v>OK</v>
      </c>
      <c r="M391" s="39" t="str">
        <f t="shared" si="26"/>
        <v>ERROR</v>
      </c>
      <c r="N391" s="39" t="str">
        <f t="shared" si="27"/>
        <v>OK</v>
      </c>
      <c r="O391" t="s">
        <v>707</v>
      </c>
    </row>
    <row r="392" spans="3:15" x14ac:dyDescent="0.25">
      <c r="C392" s="1">
        <v>42937</v>
      </c>
      <c r="D392" s="17" t="s">
        <v>608</v>
      </c>
      <c r="E392" s="6">
        <v>10291267</v>
      </c>
      <c r="F392" s="4">
        <v>5010</v>
      </c>
      <c r="G392" t="s">
        <v>630</v>
      </c>
      <c r="I392" t="s">
        <v>1832</v>
      </c>
      <c r="J392" s="2" t="s">
        <v>631</v>
      </c>
      <c r="K392" s="39" t="str">
        <f t="shared" si="24"/>
        <v>SDC148168;RENEWAL</v>
      </c>
      <c r="L392" s="39" t="str">
        <f t="shared" si="25"/>
        <v>OK</v>
      </c>
      <c r="M392" s="39" t="str">
        <f t="shared" si="26"/>
        <v>ERROR</v>
      </c>
      <c r="N392" s="39" t="str">
        <f t="shared" si="27"/>
        <v>OK</v>
      </c>
      <c r="O392" t="s">
        <v>707</v>
      </c>
    </row>
    <row r="393" spans="3:15" x14ac:dyDescent="0.25">
      <c r="C393" s="1">
        <v>42937</v>
      </c>
      <c r="D393" s="17" t="s">
        <v>608</v>
      </c>
      <c r="E393" s="6">
        <v>10291267</v>
      </c>
      <c r="F393" s="4">
        <v>5010</v>
      </c>
      <c r="G393" t="s">
        <v>630</v>
      </c>
      <c r="I393" t="s">
        <v>1832</v>
      </c>
      <c r="J393" s="2" t="s">
        <v>631</v>
      </c>
      <c r="K393" s="39" t="str">
        <f t="shared" si="24"/>
        <v>SDC148168;RENEWAL</v>
      </c>
      <c r="L393" s="39" t="str">
        <f t="shared" si="25"/>
        <v>OK</v>
      </c>
      <c r="M393" s="39" t="str">
        <f t="shared" si="26"/>
        <v>ERROR</v>
      </c>
      <c r="N393" s="39" t="str">
        <f t="shared" si="27"/>
        <v>OK</v>
      </c>
      <c r="O393" t="s">
        <v>707</v>
      </c>
    </row>
    <row r="394" spans="3:15" x14ac:dyDescent="0.25">
      <c r="C394" s="1">
        <v>42937</v>
      </c>
      <c r="D394" s="17" t="s">
        <v>608</v>
      </c>
      <c r="E394" s="6">
        <v>10296335</v>
      </c>
      <c r="F394" s="4">
        <v>2512</v>
      </c>
      <c r="G394" t="s">
        <v>632</v>
      </c>
      <c r="I394" t="s">
        <v>1834</v>
      </c>
      <c r="J394" s="2" t="s">
        <v>633</v>
      </c>
      <c r="K394" s="39" t="str">
        <f t="shared" si="24"/>
        <v>SDC139040;RENEWAL</v>
      </c>
      <c r="L394" s="39" t="str">
        <f t="shared" si="25"/>
        <v>OK</v>
      </c>
      <c r="M394" s="39" t="str">
        <f t="shared" si="26"/>
        <v>ERROR</v>
      </c>
      <c r="N394" s="39" t="str">
        <f t="shared" si="27"/>
        <v>OK</v>
      </c>
      <c r="O394" t="s">
        <v>707</v>
      </c>
    </row>
    <row r="395" spans="3:15" x14ac:dyDescent="0.25">
      <c r="C395" s="1">
        <v>42937</v>
      </c>
      <c r="D395" s="17" t="s">
        <v>608</v>
      </c>
      <c r="E395" s="6">
        <v>10296335</v>
      </c>
      <c r="F395" s="4">
        <v>2512</v>
      </c>
      <c r="G395" t="s">
        <v>632</v>
      </c>
      <c r="I395" t="s">
        <v>1834</v>
      </c>
      <c r="J395" s="2" t="s">
        <v>633</v>
      </c>
      <c r="K395" s="39" t="str">
        <f t="shared" si="24"/>
        <v>SDC139040;RENEWAL</v>
      </c>
      <c r="L395" s="39" t="str">
        <f t="shared" si="25"/>
        <v>OK</v>
      </c>
      <c r="M395" s="39" t="str">
        <f t="shared" si="26"/>
        <v>ERROR</v>
      </c>
      <c r="N395" s="39" t="str">
        <f t="shared" si="27"/>
        <v>OK</v>
      </c>
      <c r="O395" t="s">
        <v>707</v>
      </c>
    </row>
    <row r="396" spans="3:15" x14ac:dyDescent="0.25">
      <c r="C396" s="1">
        <v>42937</v>
      </c>
      <c r="D396" s="17" t="s">
        <v>608</v>
      </c>
      <c r="E396" s="3">
        <v>30237518</v>
      </c>
      <c r="F396" s="4">
        <v>1000</v>
      </c>
      <c r="G396" t="s">
        <v>634</v>
      </c>
      <c r="I396" t="s">
        <v>1836</v>
      </c>
      <c r="J396" s="2">
        <v>30237518</v>
      </c>
      <c r="K396" s="39" t="str">
        <f t="shared" si="24"/>
        <v>SDC161709;RENEWAL</v>
      </c>
      <c r="L396" s="39" t="str">
        <f t="shared" si="25"/>
        <v>OK</v>
      </c>
      <c r="M396" s="39" t="str">
        <f t="shared" si="26"/>
        <v>ERROR</v>
      </c>
      <c r="N396" s="39" t="str">
        <f t="shared" si="27"/>
        <v>OK</v>
      </c>
      <c r="O396" t="s">
        <v>707</v>
      </c>
    </row>
    <row r="397" spans="3:15" x14ac:dyDescent="0.25">
      <c r="C397" s="1">
        <v>42937</v>
      </c>
      <c r="D397" s="17" t="s">
        <v>608</v>
      </c>
      <c r="E397" s="3">
        <v>30237518</v>
      </c>
      <c r="F397" s="4">
        <v>1000</v>
      </c>
      <c r="G397" t="s">
        <v>634</v>
      </c>
      <c r="I397" t="s">
        <v>1836</v>
      </c>
      <c r="J397" s="2">
        <v>30237518</v>
      </c>
      <c r="K397" s="39" t="str">
        <f t="shared" si="24"/>
        <v>SDC161709;RENEWAL</v>
      </c>
      <c r="L397" s="39" t="str">
        <f t="shared" si="25"/>
        <v>OK</v>
      </c>
      <c r="M397" s="39" t="str">
        <f t="shared" si="26"/>
        <v>ERROR</v>
      </c>
      <c r="N397" s="39" t="str">
        <f t="shared" si="27"/>
        <v>OK</v>
      </c>
      <c r="O397" t="s">
        <v>707</v>
      </c>
    </row>
    <row r="398" spans="3:15" x14ac:dyDescent="0.25">
      <c r="C398" s="1">
        <v>42937</v>
      </c>
      <c r="D398" s="17" t="s">
        <v>608</v>
      </c>
      <c r="E398" s="3">
        <v>10189021</v>
      </c>
      <c r="F398" s="4">
        <v>6570</v>
      </c>
      <c r="G398" t="s">
        <v>635</v>
      </c>
      <c r="I398" t="s">
        <v>1838</v>
      </c>
      <c r="J398" s="2" t="s">
        <v>636</v>
      </c>
      <c r="K398" s="39" t="str">
        <f t="shared" si="24"/>
        <v>SDC139046;RENEWAL</v>
      </c>
      <c r="L398" s="39" t="str">
        <f t="shared" si="25"/>
        <v>OK</v>
      </c>
      <c r="M398" s="39" t="str">
        <f t="shared" si="26"/>
        <v>ERROR</v>
      </c>
      <c r="N398" s="39" t="str">
        <f t="shared" si="27"/>
        <v>OK</v>
      </c>
      <c r="O398" t="s">
        <v>707</v>
      </c>
    </row>
    <row r="399" spans="3:15" x14ac:dyDescent="0.25">
      <c r="C399" s="1">
        <v>42937</v>
      </c>
      <c r="D399" s="17" t="s">
        <v>608</v>
      </c>
      <c r="E399" s="3">
        <v>10263073</v>
      </c>
      <c r="F399" s="4">
        <v>3552</v>
      </c>
      <c r="G399" t="s">
        <v>637</v>
      </c>
      <c r="I399" t="s">
        <v>1839</v>
      </c>
      <c r="J399" s="2" t="s">
        <v>638</v>
      </c>
      <c r="K399" s="39" t="str">
        <f t="shared" si="24"/>
        <v>SDC139047;RENEWAL</v>
      </c>
      <c r="L399" s="39" t="str">
        <f t="shared" si="25"/>
        <v>OK</v>
      </c>
      <c r="M399" s="39" t="str">
        <f t="shared" si="26"/>
        <v>ERROR</v>
      </c>
      <c r="N399" s="39" t="str">
        <f t="shared" si="27"/>
        <v>OK</v>
      </c>
      <c r="O399" t="s">
        <v>707</v>
      </c>
    </row>
    <row r="400" spans="3:15" x14ac:dyDescent="0.25">
      <c r="C400" s="1">
        <v>42937</v>
      </c>
      <c r="D400" s="17" t="s">
        <v>608</v>
      </c>
      <c r="E400" s="3">
        <v>10189021</v>
      </c>
      <c r="F400" s="4">
        <v>6570</v>
      </c>
      <c r="G400" t="s">
        <v>635</v>
      </c>
      <c r="I400" t="s">
        <v>1838</v>
      </c>
      <c r="J400" s="2" t="s">
        <v>636</v>
      </c>
      <c r="K400" s="39" t="str">
        <f t="shared" si="24"/>
        <v>SDC139046;RENEWAL</v>
      </c>
      <c r="L400" s="39" t="str">
        <f t="shared" si="25"/>
        <v>OK</v>
      </c>
      <c r="M400" s="39" t="str">
        <f t="shared" si="26"/>
        <v>ERROR</v>
      </c>
      <c r="N400" s="39" t="str">
        <f t="shared" si="27"/>
        <v>OK</v>
      </c>
      <c r="O400" t="s">
        <v>707</v>
      </c>
    </row>
    <row r="401" spans="3:15" x14ac:dyDescent="0.25">
      <c r="C401" s="1">
        <v>42937</v>
      </c>
      <c r="D401" s="17" t="s">
        <v>608</v>
      </c>
      <c r="E401" s="3">
        <v>10263073</v>
      </c>
      <c r="F401" s="4">
        <v>3552</v>
      </c>
      <c r="G401" t="s">
        <v>637</v>
      </c>
      <c r="I401" t="s">
        <v>1839</v>
      </c>
      <c r="J401" s="2" t="s">
        <v>638</v>
      </c>
      <c r="K401" s="39" t="str">
        <f t="shared" si="24"/>
        <v>SDC139047;RENEWAL</v>
      </c>
      <c r="L401" s="39" t="str">
        <f t="shared" si="25"/>
        <v>OK</v>
      </c>
      <c r="M401" s="39" t="str">
        <f t="shared" si="26"/>
        <v>ERROR</v>
      </c>
      <c r="N401" s="39" t="str">
        <f t="shared" si="27"/>
        <v>OK</v>
      </c>
      <c r="O401" t="s">
        <v>707</v>
      </c>
    </row>
    <row r="402" spans="3:15" x14ac:dyDescent="0.25">
      <c r="C402" s="1">
        <v>42937</v>
      </c>
      <c r="D402" s="17" t="s">
        <v>640</v>
      </c>
      <c r="E402" s="3">
        <v>10106743</v>
      </c>
      <c r="F402" s="4">
        <v>1080</v>
      </c>
      <c r="G402" t="s">
        <v>639</v>
      </c>
      <c r="I402" t="s">
        <v>1844</v>
      </c>
      <c r="J402" s="2">
        <v>10106743</v>
      </c>
      <c r="K402" s="39" t="str">
        <f t="shared" si="24"/>
        <v>SDC202342;RENEWAL</v>
      </c>
      <c r="L402" s="39" t="str">
        <f t="shared" si="25"/>
        <v>OK</v>
      </c>
      <c r="M402" s="39" t="str">
        <f t="shared" si="26"/>
        <v>ERROR</v>
      </c>
      <c r="N402" s="39" t="str">
        <f t="shared" si="27"/>
        <v>OK</v>
      </c>
      <c r="O402" t="s">
        <v>709</v>
      </c>
    </row>
    <row r="403" spans="3:15" x14ac:dyDescent="0.25">
      <c r="C403" s="1">
        <v>42937</v>
      </c>
      <c r="D403" s="17" t="s">
        <v>642</v>
      </c>
      <c r="E403" s="3">
        <v>10110852</v>
      </c>
      <c r="F403" s="4">
        <v>1140</v>
      </c>
      <c r="G403" t="s">
        <v>641</v>
      </c>
      <c r="I403" t="s">
        <v>1845</v>
      </c>
      <c r="J403" s="2">
        <v>10110852</v>
      </c>
      <c r="K403" s="39" t="str">
        <f t="shared" si="24"/>
        <v>DC114861;RENEWAL</v>
      </c>
      <c r="L403" s="39" t="str">
        <f t="shared" si="25"/>
        <v>ERROR</v>
      </c>
      <c r="M403" s="39" t="str">
        <f t="shared" si="26"/>
        <v>ERROR</v>
      </c>
      <c r="N403" s="39" t="str">
        <f t="shared" si="27"/>
        <v>OK</v>
      </c>
      <c r="O403" t="s">
        <v>708</v>
      </c>
    </row>
    <row r="404" spans="3:15" x14ac:dyDescent="0.25">
      <c r="C404" s="1">
        <v>42937</v>
      </c>
      <c r="D404" s="17" t="s">
        <v>640</v>
      </c>
      <c r="E404" s="3">
        <v>10112748</v>
      </c>
      <c r="F404" s="4">
        <v>2400</v>
      </c>
      <c r="G404" t="s">
        <v>643</v>
      </c>
      <c r="I404" t="s">
        <v>1846</v>
      </c>
      <c r="J404" s="2">
        <v>10112748</v>
      </c>
      <c r="K404" s="39" t="str">
        <f t="shared" si="24"/>
        <v>SDC190943;RENEWAL</v>
      </c>
      <c r="L404" s="39" t="str">
        <f t="shared" si="25"/>
        <v>OK</v>
      </c>
      <c r="M404" s="39" t="str">
        <f t="shared" si="26"/>
        <v>ERROR</v>
      </c>
      <c r="N404" s="39" t="str">
        <f t="shared" si="27"/>
        <v>OK</v>
      </c>
      <c r="O404" t="s">
        <v>709</v>
      </c>
    </row>
    <row r="405" spans="3:15" x14ac:dyDescent="0.25">
      <c r="C405" s="1">
        <v>42937</v>
      </c>
      <c r="D405" s="17" t="s">
        <v>642</v>
      </c>
      <c r="E405" s="3">
        <v>10121432</v>
      </c>
      <c r="F405" s="4">
        <v>12311</v>
      </c>
      <c r="G405" t="s">
        <v>644</v>
      </c>
      <c r="I405" t="s">
        <v>1847</v>
      </c>
      <c r="J405" s="2">
        <v>10121432</v>
      </c>
      <c r="K405" s="39" t="str">
        <f t="shared" si="24"/>
        <v>SDC123814;RENEWAL</v>
      </c>
      <c r="L405" s="39" t="str">
        <f t="shared" si="25"/>
        <v>OK</v>
      </c>
      <c r="M405" s="39" t="str">
        <f t="shared" si="26"/>
        <v>ERROR</v>
      </c>
      <c r="N405" s="39" t="str">
        <f t="shared" si="27"/>
        <v>OK</v>
      </c>
      <c r="O405" t="s">
        <v>708</v>
      </c>
    </row>
    <row r="406" spans="3:15" x14ac:dyDescent="0.25">
      <c r="C406" s="1">
        <v>42937</v>
      </c>
      <c r="D406" s="17" t="s">
        <v>642</v>
      </c>
      <c r="E406" s="3">
        <v>10148998</v>
      </c>
      <c r="F406" s="4">
        <v>2653</v>
      </c>
      <c r="G406" t="s">
        <v>645</v>
      </c>
      <c r="I406" t="s">
        <v>1848</v>
      </c>
      <c r="J406" s="2">
        <v>10148998</v>
      </c>
      <c r="K406" s="39" t="str">
        <f t="shared" si="24"/>
        <v>SDC123928;RENEWAL</v>
      </c>
      <c r="L406" s="39" t="str">
        <f t="shared" si="25"/>
        <v>OK</v>
      </c>
      <c r="M406" s="39" t="str">
        <f t="shared" si="26"/>
        <v>ERROR</v>
      </c>
      <c r="N406" s="39" t="str">
        <f t="shared" si="27"/>
        <v>OK</v>
      </c>
      <c r="O406" t="s">
        <v>708</v>
      </c>
    </row>
    <row r="407" spans="3:15" x14ac:dyDescent="0.25">
      <c r="C407" s="1">
        <v>42937</v>
      </c>
      <c r="D407" s="17" t="s">
        <v>642</v>
      </c>
      <c r="E407" s="3">
        <v>10154772</v>
      </c>
      <c r="F407" s="4">
        <v>3065</v>
      </c>
      <c r="G407" t="s">
        <v>646</v>
      </c>
      <c r="I407" t="s">
        <v>1849</v>
      </c>
      <c r="J407" s="2">
        <v>10154772</v>
      </c>
      <c r="K407" s="39" t="str">
        <f t="shared" si="24"/>
        <v>DC100673;RENEWAL</v>
      </c>
      <c r="L407" s="39" t="str">
        <f t="shared" si="25"/>
        <v>ERROR</v>
      </c>
      <c r="M407" s="39" t="str">
        <f t="shared" si="26"/>
        <v>ERROR</v>
      </c>
      <c r="N407" s="39" t="str">
        <f t="shared" si="27"/>
        <v>OK</v>
      </c>
      <c r="O407" t="s">
        <v>708</v>
      </c>
    </row>
    <row r="408" spans="3:15" x14ac:dyDescent="0.25">
      <c r="C408" s="1">
        <v>42937</v>
      </c>
      <c r="D408" s="17" t="s">
        <v>640</v>
      </c>
      <c r="E408" s="3">
        <v>10161573</v>
      </c>
      <c r="F408" s="4">
        <v>2370</v>
      </c>
      <c r="G408" t="s">
        <v>647</v>
      </c>
      <c r="I408" t="s">
        <v>1850</v>
      </c>
      <c r="J408" s="2">
        <v>10161573</v>
      </c>
      <c r="K408" s="39" t="str">
        <f t="shared" si="24"/>
        <v>SDC160917;RENEWAL</v>
      </c>
      <c r="L408" s="39" t="str">
        <f t="shared" si="25"/>
        <v>OK</v>
      </c>
      <c r="M408" s="39" t="str">
        <f t="shared" si="26"/>
        <v>ERROR</v>
      </c>
      <c r="N408" s="39" t="str">
        <f t="shared" si="27"/>
        <v>OK</v>
      </c>
      <c r="O408" t="s">
        <v>709</v>
      </c>
    </row>
    <row r="409" spans="3:15" x14ac:dyDescent="0.25">
      <c r="C409" s="1">
        <v>42937</v>
      </c>
      <c r="D409" s="17" t="s">
        <v>642</v>
      </c>
      <c r="E409" s="3">
        <v>10148291</v>
      </c>
      <c r="F409" s="4">
        <v>1097</v>
      </c>
      <c r="G409" t="s">
        <v>648</v>
      </c>
      <c r="I409" t="s">
        <v>1851</v>
      </c>
      <c r="J409" s="2" t="s">
        <v>649</v>
      </c>
      <c r="K409" s="39" t="str">
        <f t="shared" si="24"/>
        <v>SDC133509;RENEWAL</v>
      </c>
      <c r="L409" s="39" t="str">
        <f t="shared" si="25"/>
        <v>OK</v>
      </c>
      <c r="M409" s="39" t="str">
        <f t="shared" si="26"/>
        <v>ERROR</v>
      </c>
      <c r="N409" s="39" t="str">
        <f t="shared" si="27"/>
        <v>OK</v>
      </c>
      <c r="O409" t="s">
        <v>708</v>
      </c>
    </row>
    <row r="410" spans="3:15" x14ac:dyDescent="0.25">
      <c r="C410" s="1">
        <v>42937</v>
      </c>
      <c r="D410" s="17" t="s">
        <v>642</v>
      </c>
      <c r="E410" s="8">
        <v>10026380</v>
      </c>
      <c r="F410" s="4">
        <v>1065</v>
      </c>
      <c r="G410" t="s">
        <v>650</v>
      </c>
      <c r="I410" t="s">
        <v>1852</v>
      </c>
      <c r="J410" s="2" t="s">
        <v>651</v>
      </c>
      <c r="K410" s="39" t="str">
        <f t="shared" si="24"/>
        <v>SDC111683;RENEWAL</v>
      </c>
      <c r="L410" s="39" t="str">
        <f t="shared" si="25"/>
        <v>OK</v>
      </c>
      <c r="M410" s="39" t="str">
        <f t="shared" si="26"/>
        <v>ERROR</v>
      </c>
      <c r="N410" s="39" t="str">
        <f t="shared" si="27"/>
        <v>OK</v>
      </c>
      <c r="O410" t="s">
        <v>708</v>
      </c>
    </row>
    <row r="411" spans="3:15" x14ac:dyDescent="0.25">
      <c r="C411" s="1">
        <v>42937</v>
      </c>
      <c r="D411" s="17" t="s">
        <v>642</v>
      </c>
      <c r="E411" s="11">
        <v>30053621</v>
      </c>
      <c r="F411" s="4">
        <v>5080</v>
      </c>
      <c r="G411" t="s">
        <v>652</v>
      </c>
      <c r="I411" t="s">
        <v>1854</v>
      </c>
      <c r="J411" s="2" t="s">
        <v>653</v>
      </c>
      <c r="K411" s="39" t="str">
        <f t="shared" si="24"/>
        <v>SDC123190;RENEWAL</v>
      </c>
      <c r="L411" s="39" t="str">
        <f t="shared" si="25"/>
        <v>OK</v>
      </c>
      <c r="M411" s="39" t="str">
        <f t="shared" si="26"/>
        <v>ERROR</v>
      </c>
      <c r="N411" s="39" t="str">
        <f t="shared" si="27"/>
        <v>OK</v>
      </c>
      <c r="O411" t="s">
        <v>708</v>
      </c>
    </row>
    <row r="412" spans="3:15" x14ac:dyDescent="0.25">
      <c r="C412" s="1">
        <v>42937</v>
      </c>
      <c r="D412" s="17" t="s">
        <v>642</v>
      </c>
      <c r="E412" s="11">
        <v>10191836</v>
      </c>
      <c r="F412" s="4">
        <v>11000</v>
      </c>
      <c r="G412" t="s">
        <v>654</v>
      </c>
      <c r="I412" t="s">
        <v>1855</v>
      </c>
      <c r="J412" s="2" t="s">
        <v>655</v>
      </c>
      <c r="K412" s="39" t="str">
        <f t="shared" si="24"/>
        <v>SDC115934;RENEWAL</v>
      </c>
      <c r="L412" s="39" t="str">
        <f t="shared" si="25"/>
        <v>OK</v>
      </c>
      <c r="M412" s="39" t="str">
        <f t="shared" si="26"/>
        <v>ERROR</v>
      </c>
      <c r="N412" s="39" t="str">
        <f t="shared" si="27"/>
        <v>OK</v>
      </c>
      <c r="O412" t="s">
        <v>708</v>
      </c>
    </row>
    <row r="413" spans="3:15" x14ac:dyDescent="0.25">
      <c r="C413" s="1">
        <v>42937</v>
      </c>
      <c r="D413" s="17" t="s">
        <v>642</v>
      </c>
      <c r="E413" s="6">
        <v>10189087</v>
      </c>
      <c r="F413" s="4">
        <v>10371</v>
      </c>
      <c r="G413" t="s">
        <v>656</v>
      </c>
      <c r="I413" t="s">
        <v>1856</v>
      </c>
      <c r="J413" s="2" t="s">
        <v>657</v>
      </c>
      <c r="K413" s="39" t="str">
        <f t="shared" si="24"/>
        <v>SDC122436;RENEWAL</v>
      </c>
      <c r="L413" s="39" t="str">
        <f t="shared" si="25"/>
        <v>OK</v>
      </c>
      <c r="M413" s="39" t="str">
        <f t="shared" si="26"/>
        <v>ERROR</v>
      </c>
      <c r="N413" s="39" t="str">
        <f t="shared" si="27"/>
        <v>OK</v>
      </c>
      <c r="O413" t="s">
        <v>708</v>
      </c>
    </row>
    <row r="414" spans="3:15" x14ac:dyDescent="0.25">
      <c r="C414" s="1">
        <v>42937</v>
      </c>
      <c r="D414" s="17" t="s">
        <v>642</v>
      </c>
      <c r="E414" s="6">
        <v>10189071</v>
      </c>
      <c r="F414" s="4">
        <v>10356</v>
      </c>
      <c r="G414" t="s">
        <v>658</v>
      </c>
      <c r="I414" t="s">
        <v>1857</v>
      </c>
      <c r="J414" s="2" t="s">
        <v>659</v>
      </c>
      <c r="K414" s="39" t="str">
        <f t="shared" si="24"/>
        <v>SDC122502;RENEWAL</v>
      </c>
      <c r="L414" s="39" t="str">
        <f t="shared" si="25"/>
        <v>OK</v>
      </c>
      <c r="M414" s="39" t="str">
        <f t="shared" si="26"/>
        <v>ERROR</v>
      </c>
      <c r="N414" s="39" t="str">
        <f t="shared" si="27"/>
        <v>OK</v>
      </c>
      <c r="O414" t="s">
        <v>708</v>
      </c>
    </row>
    <row r="415" spans="3:15" x14ac:dyDescent="0.25">
      <c r="C415" s="1">
        <v>42937</v>
      </c>
      <c r="D415" s="17" t="s">
        <v>662</v>
      </c>
      <c r="E415" s="6">
        <v>10209231</v>
      </c>
      <c r="F415" s="4">
        <v>5000</v>
      </c>
      <c r="G415" t="s">
        <v>660</v>
      </c>
      <c r="I415" t="s">
        <v>1858</v>
      </c>
      <c r="J415" s="2" t="s">
        <v>661</v>
      </c>
      <c r="K415" s="39" t="str">
        <f t="shared" si="24"/>
        <v>SDC139049;RENEWAL</v>
      </c>
      <c r="L415" s="39" t="str">
        <f t="shared" si="25"/>
        <v>OK</v>
      </c>
      <c r="M415" s="39" t="str">
        <f t="shared" si="26"/>
        <v>ERROR</v>
      </c>
      <c r="N415" s="39" t="str">
        <f t="shared" si="27"/>
        <v>OK</v>
      </c>
      <c r="O415" t="s">
        <v>710</v>
      </c>
    </row>
    <row r="416" spans="3:15" x14ac:dyDescent="0.25">
      <c r="C416" s="1">
        <v>42937</v>
      </c>
      <c r="D416" s="17" t="s">
        <v>662</v>
      </c>
      <c r="E416" s="6">
        <v>10209231</v>
      </c>
      <c r="F416" s="4">
        <v>5000</v>
      </c>
      <c r="G416" t="s">
        <v>660</v>
      </c>
      <c r="I416" t="s">
        <v>1858</v>
      </c>
      <c r="J416" s="2" t="s">
        <v>661</v>
      </c>
      <c r="K416" s="39" t="str">
        <f t="shared" si="24"/>
        <v>SDC139049;RENEWAL</v>
      </c>
      <c r="L416" s="39" t="str">
        <f t="shared" si="25"/>
        <v>OK</v>
      </c>
      <c r="M416" s="39" t="str">
        <f t="shared" si="26"/>
        <v>ERROR</v>
      </c>
      <c r="N416" s="39" t="str">
        <f t="shared" si="27"/>
        <v>OK</v>
      </c>
      <c r="O416" t="s">
        <v>710</v>
      </c>
    </row>
    <row r="417" spans="3:15" x14ac:dyDescent="0.25">
      <c r="C417" s="1">
        <v>42937</v>
      </c>
      <c r="D417" s="17" t="s">
        <v>662</v>
      </c>
      <c r="E417" s="6">
        <v>10146894</v>
      </c>
      <c r="F417" s="4">
        <v>16290</v>
      </c>
      <c r="G417" t="s">
        <v>663</v>
      </c>
      <c r="I417" t="s">
        <v>1860</v>
      </c>
      <c r="J417" s="2" t="s">
        <v>664</v>
      </c>
      <c r="K417" s="39" t="str">
        <f t="shared" si="24"/>
        <v>SDC139041;RENEWAL</v>
      </c>
      <c r="L417" s="39" t="str">
        <f t="shared" si="25"/>
        <v>OK</v>
      </c>
      <c r="M417" s="39" t="str">
        <f t="shared" si="26"/>
        <v>ERROR</v>
      </c>
      <c r="N417" s="39" t="str">
        <f t="shared" si="27"/>
        <v>OK</v>
      </c>
      <c r="O417" t="s">
        <v>710</v>
      </c>
    </row>
    <row r="418" spans="3:15" x14ac:dyDescent="0.25">
      <c r="C418" s="1">
        <v>42937</v>
      </c>
      <c r="D418" s="17" t="s">
        <v>662</v>
      </c>
      <c r="E418" s="6">
        <v>10146894</v>
      </c>
      <c r="F418" s="4">
        <v>16290</v>
      </c>
      <c r="G418" t="s">
        <v>663</v>
      </c>
      <c r="I418" t="s">
        <v>1860</v>
      </c>
      <c r="J418" s="2" t="s">
        <v>664</v>
      </c>
      <c r="K418" s="39" t="str">
        <f t="shared" si="24"/>
        <v>SDC139041;RENEWAL</v>
      </c>
      <c r="L418" s="39" t="str">
        <f t="shared" si="25"/>
        <v>OK</v>
      </c>
      <c r="M418" s="39" t="str">
        <f t="shared" si="26"/>
        <v>ERROR</v>
      </c>
      <c r="N418" s="39" t="str">
        <f t="shared" si="27"/>
        <v>OK</v>
      </c>
      <c r="O418" t="s">
        <v>710</v>
      </c>
    </row>
    <row r="419" spans="3:15" x14ac:dyDescent="0.25">
      <c r="C419" s="1">
        <v>42937</v>
      </c>
      <c r="D419" s="17" t="s">
        <v>642</v>
      </c>
      <c r="E419" s="8">
        <v>10042373</v>
      </c>
      <c r="F419" s="4">
        <v>1339</v>
      </c>
      <c r="G419" t="s">
        <v>665</v>
      </c>
      <c r="I419" t="s">
        <v>1862</v>
      </c>
      <c r="J419" s="2" t="s">
        <v>666</v>
      </c>
      <c r="K419" s="39" t="str">
        <f t="shared" si="24"/>
        <v>SDC135620;RENEWAL</v>
      </c>
      <c r="L419" s="39" t="str">
        <f t="shared" si="25"/>
        <v>OK</v>
      </c>
      <c r="M419" s="39" t="str">
        <f t="shared" si="26"/>
        <v>ERROR</v>
      </c>
      <c r="N419" s="39" t="str">
        <f t="shared" si="27"/>
        <v>OK</v>
      </c>
      <c r="O419" t="s">
        <v>708</v>
      </c>
    </row>
    <row r="420" spans="3:15" x14ac:dyDescent="0.25">
      <c r="C420" s="1">
        <v>42937</v>
      </c>
      <c r="D420" s="17" t="s">
        <v>642</v>
      </c>
      <c r="E420" s="3">
        <v>10202206</v>
      </c>
      <c r="F420" s="4">
        <v>2738</v>
      </c>
      <c r="G420" t="s">
        <v>667</v>
      </c>
      <c r="I420" t="s">
        <v>1863</v>
      </c>
      <c r="J420" s="2" t="s">
        <v>668</v>
      </c>
      <c r="K420" s="39" t="str">
        <f t="shared" si="24"/>
        <v>SDC115899;RENEWAL</v>
      </c>
      <c r="L420" s="39" t="str">
        <f t="shared" si="25"/>
        <v>OK</v>
      </c>
      <c r="M420" s="39" t="str">
        <f t="shared" si="26"/>
        <v>ERROR</v>
      </c>
      <c r="N420" s="39" t="str">
        <f t="shared" si="27"/>
        <v>OK</v>
      </c>
      <c r="O420" t="s">
        <v>708</v>
      </c>
    </row>
    <row r="421" spans="3:15" x14ac:dyDescent="0.25">
      <c r="C421" s="1">
        <v>42937</v>
      </c>
      <c r="D421" s="17" t="s">
        <v>642</v>
      </c>
      <c r="E421" s="3">
        <v>10161395</v>
      </c>
      <c r="F421" s="4">
        <v>2278</v>
      </c>
      <c r="G421" t="s">
        <v>669</v>
      </c>
      <c r="I421" t="s">
        <v>1865</v>
      </c>
      <c r="J421" s="2" t="s">
        <v>670</v>
      </c>
      <c r="K421" s="39" t="str">
        <f t="shared" si="24"/>
        <v>SDC129824;RENEWAL</v>
      </c>
      <c r="L421" s="39" t="str">
        <f t="shared" si="25"/>
        <v>OK</v>
      </c>
      <c r="M421" s="39" t="str">
        <f t="shared" si="26"/>
        <v>ERROR</v>
      </c>
      <c r="N421" s="39" t="str">
        <f t="shared" si="27"/>
        <v>OK</v>
      </c>
      <c r="O421" t="s">
        <v>708</v>
      </c>
    </row>
    <row r="422" spans="3:15" s="23" customFormat="1" x14ac:dyDescent="0.25">
      <c r="C422" s="18">
        <v>42908</v>
      </c>
      <c r="D422" s="22" t="s">
        <v>608</v>
      </c>
      <c r="E422" s="20">
        <v>10232524</v>
      </c>
      <c r="F422" s="21">
        <v>1166</v>
      </c>
      <c r="G422" s="19" t="s">
        <v>671</v>
      </c>
      <c r="I422" t="s">
        <v>1866</v>
      </c>
      <c r="J422" s="20">
        <v>1032524</v>
      </c>
      <c r="K422" s="39" t="str">
        <f t="shared" si="24"/>
        <v>SDC714571;RENEWAL</v>
      </c>
      <c r="L422" s="39" t="str">
        <f t="shared" si="25"/>
        <v>OK</v>
      </c>
      <c r="M422" s="39" t="str">
        <f t="shared" si="26"/>
        <v>ERROR</v>
      </c>
      <c r="N422" s="39" t="str">
        <f t="shared" si="27"/>
        <v>OK</v>
      </c>
      <c r="O422" t="s">
        <v>707</v>
      </c>
    </row>
    <row r="423" spans="3:15" s="23" customFormat="1" x14ac:dyDescent="0.25">
      <c r="C423" s="18">
        <v>42928</v>
      </c>
      <c r="D423" s="22" t="s">
        <v>2</v>
      </c>
      <c r="E423" s="20">
        <v>30200841</v>
      </c>
      <c r="F423" s="21">
        <v>70000</v>
      </c>
      <c r="G423" s="19" t="s">
        <v>673</v>
      </c>
      <c r="I423" t="s">
        <v>1867</v>
      </c>
      <c r="J423" s="20" t="s">
        <v>672</v>
      </c>
      <c r="K423" s="39" t="str">
        <f t="shared" si="24"/>
        <v>SDC624360;RENEWAL</v>
      </c>
      <c r="L423" s="39" t="str">
        <f t="shared" si="25"/>
        <v>OK</v>
      </c>
      <c r="M423" s="39" t="str">
        <f t="shared" si="26"/>
        <v>ERROR</v>
      </c>
      <c r="N423" s="39" t="str">
        <f t="shared" si="27"/>
        <v>OK</v>
      </c>
      <c r="O423" t="s">
        <v>697</v>
      </c>
    </row>
    <row r="424" spans="3:15" s="23" customFormat="1" x14ac:dyDescent="0.25">
      <c r="C424" s="18">
        <v>42937</v>
      </c>
      <c r="D424" s="22" t="s">
        <v>2</v>
      </c>
      <c r="E424" s="20">
        <v>30209180</v>
      </c>
      <c r="F424" s="21">
        <v>3127</v>
      </c>
      <c r="G424" s="19" t="s">
        <v>675</v>
      </c>
      <c r="I424" t="s">
        <v>1868</v>
      </c>
      <c r="J424" s="20" t="s">
        <v>674</v>
      </c>
      <c r="K424" s="39" t="str">
        <f t="shared" si="24"/>
        <v>SDC208186;RENEWAL</v>
      </c>
      <c r="L424" s="39" t="str">
        <f t="shared" si="25"/>
        <v>OK</v>
      </c>
      <c r="M424" s="39" t="str">
        <f t="shared" si="26"/>
        <v>ERROR</v>
      </c>
      <c r="N424" s="39" t="str">
        <f t="shared" si="27"/>
        <v>OK</v>
      </c>
      <c r="O424" t="s">
        <v>697</v>
      </c>
    </row>
    <row r="425" spans="3:15" s="23" customFormat="1" x14ac:dyDescent="0.25">
      <c r="C425" s="18">
        <v>42936</v>
      </c>
      <c r="D425" s="22" t="s">
        <v>2</v>
      </c>
      <c r="E425" s="20">
        <v>30200841</v>
      </c>
      <c r="F425" s="21">
        <v>70000</v>
      </c>
      <c r="G425" s="19" t="s">
        <v>677</v>
      </c>
      <c r="I425" t="s">
        <v>1867</v>
      </c>
      <c r="J425" s="20" t="s">
        <v>676</v>
      </c>
      <c r="K425" s="39" t="str">
        <f t="shared" si="24"/>
        <v>SDC64299;RENEWAL</v>
      </c>
      <c r="L425" s="39" t="str">
        <f t="shared" si="25"/>
        <v>ERROR</v>
      </c>
      <c r="M425" s="39" t="str">
        <f t="shared" si="26"/>
        <v>ERROR</v>
      </c>
      <c r="N425" s="39" t="str">
        <f t="shared" si="27"/>
        <v>OK</v>
      </c>
      <c r="O425" t="s">
        <v>697</v>
      </c>
    </row>
    <row r="426" spans="3:15" s="23" customFormat="1" x14ac:dyDescent="0.25">
      <c r="C426" s="18">
        <v>42927</v>
      </c>
      <c r="D426" s="22" t="s">
        <v>2</v>
      </c>
      <c r="E426" s="20">
        <v>10006319</v>
      </c>
      <c r="F426" s="21">
        <v>1010</v>
      </c>
      <c r="G426" s="19" t="s">
        <v>679</v>
      </c>
      <c r="I426" t="s">
        <v>1870</v>
      </c>
      <c r="J426" s="20" t="s">
        <v>678</v>
      </c>
      <c r="K426" s="39" t="str">
        <f t="shared" si="24"/>
        <v>SDC430445;RENEWAL</v>
      </c>
      <c r="L426" s="39" t="str">
        <f t="shared" si="25"/>
        <v>OK</v>
      </c>
      <c r="M426" s="39" t="str">
        <f t="shared" si="26"/>
        <v>ERROR</v>
      </c>
      <c r="N426" s="39" t="str">
        <f t="shared" si="27"/>
        <v>OK</v>
      </c>
      <c r="O426" t="s">
        <v>697</v>
      </c>
    </row>
    <row r="427" spans="3:15" x14ac:dyDescent="0.25">
      <c r="F427" s="41">
        <f>SUM(F2:F426)</f>
        <v>2732161</v>
      </c>
    </row>
  </sheetData>
  <autoFilter ref="C2:O427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429"/>
  <sheetViews>
    <sheetView topLeftCell="G413" workbookViewId="0">
      <selection activeCell="M420" sqref="M420"/>
    </sheetView>
  </sheetViews>
  <sheetFormatPr defaultRowHeight="15" x14ac:dyDescent="0.25"/>
  <cols>
    <col min="1" max="1" width="9.140625" style="24"/>
    <col min="2" max="2" width="10.42578125" style="24" bestFit="1" customWidth="1"/>
    <col min="3" max="3" width="26.140625" style="24" customWidth="1"/>
    <col min="4" max="4" width="21.5703125" style="24" customWidth="1"/>
    <col min="5" max="5" width="20.140625" style="24" customWidth="1"/>
    <col min="6" max="6" width="36.140625" style="24" bestFit="1" customWidth="1"/>
    <col min="7" max="7" width="19.7109375" style="24" bestFit="1" customWidth="1"/>
    <col min="8" max="8" width="15.5703125" style="24" customWidth="1"/>
    <col min="9" max="9" width="19.42578125" style="24" bestFit="1" customWidth="1"/>
    <col min="10" max="10" width="19.5703125" style="24" bestFit="1" customWidth="1"/>
    <col min="11" max="11" width="18.140625" style="24" bestFit="1" customWidth="1"/>
    <col min="12" max="12" width="27" style="24" bestFit="1" customWidth="1"/>
    <col min="13" max="13" width="23.7109375" style="24" bestFit="1" customWidth="1"/>
    <col min="14" max="14" width="10.140625" style="24" bestFit="1" customWidth="1"/>
    <col min="15" max="15" width="9.140625" style="24"/>
    <col min="16" max="16" width="10.7109375" style="24" bestFit="1" customWidth="1"/>
    <col min="17" max="16384" width="9.140625" style="24"/>
  </cols>
  <sheetData>
    <row r="3" spans="2:17" ht="15.75" thickBot="1" x14ac:dyDescent="0.3"/>
    <row r="4" spans="2:17" ht="16.5" x14ac:dyDescent="0.3">
      <c r="B4" s="25" t="s">
        <v>680</v>
      </c>
      <c r="C4" s="26" t="s">
        <v>681</v>
      </c>
      <c r="D4" s="26" t="s">
        <v>682</v>
      </c>
      <c r="E4" s="26" t="s">
        <v>683</v>
      </c>
      <c r="F4" s="26" t="s">
        <v>684</v>
      </c>
      <c r="G4" s="26" t="s">
        <v>685</v>
      </c>
      <c r="H4" s="27" t="s">
        <v>686</v>
      </c>
      <c r="I4" s="28" t="s">
        <v>687</v>
      </c>
      <c r="J4" s="26" t="s">
        <v>688</v>
      </c>
      <c r="K4" s="29" t="s">
        <v>689</v>
      </c>
      <c r="L4" s="30" t="s">
        <v>690</v>
      </c>
      <c r="M4" s="31" t="s">
        <v>691</v>
      </c>
      <c r="N4" s="29" t="s">
        <v>692</v>
      </c>
      <c r="O4" s="32" t="s">
        <v>693</v>
      </c>
    </row>
    <row r="5" spans="2:17" ht="16.5" x14ac:dyDescent="0.3">
      <c r="B5" s="33">
        <v>1</v>
      </c>
      <c r="C5" s="34" t="s">
        <v>694</v>
      </c>
      <c r="D5" s="35" t="s">
        <v>711</v>
      </c>
      <c r="E5" s="34" t="s">
        <v>696</v>
      </c>
      <c r="F5" s="36" t="s">
        <v>712</v>
      </c>
      <c r="G5" s="36" t="s">
        <v>1119</v>
      </c>
      <c r="H5" s="37">
        <v>1369</v>
      </c>
      <c r="I5" s="36" t="s">
        <v>697</v>
      </c>
      <c r="J5" s="34" t="s">
        <v>698</v>
      </c>
      <c r="K5" s="38"/>
      <c r="L5" s="36" t="s">
        <v>695</v>
      </c>
      <c r="M5" s="36" t="s">
        <v>695</v>
      </c>
      <c r="N5" s="38"/>
      <c r="O5" s="38"/>
      <c r="P5" s="1"/>
      <c r="Q5" s="40"/>
    </row>
    <row r="6" spans="2:17" ht="16.5" x14ac:dyDescent="0.3">
      <c r="B6" s="33">
        <v>2</v>
      </c>
      <c r="C6" s="34" t="s">
        <v>694</v>
      </c>
      <c r="D6" s="35" t="s">
        <v>711</v>
      </c>
      <c r="E6" s="34" t="s">
        <v>696</v>
      </c>
      <c r="F6" s="36" t="s">
        <v>713</v>
      </c>
      <c r="G6" s="36" t="s">
        <v>1120</v>
      </c>
      <c r="H6" s="37">
        <v>1758</v>
      </c>
      <c r="I6" s="36" t="s">
        <v>697</v>
      </c>
      <c r="J6" s="34" t="s">
        <v>698</v>
      </c>
      <c r="K6" s="38"/>
      <c r="L6" s="36" t="s">
        <v>695</v>
      </c>
      <c r="M6" s="36" t="s">
        <v>695</v>
      </c>
      <c r="N6" s="38"/>
      <c r="O6" s="38"/>
      <c r="P6" s="1"/>
      <c r="Q6" s="40"/>
    </row>
    <row r="7" spans="2:17" ht="16.5" x14ac:dyDescent="0.3">
      <c r="B7" s="33">
        <v>3</v>
      </c>
      <c r="C7" s="34" t="s">
        <v>694</v>
      </c>
      <c r="D7" s="35" t="s">
        <v>711</v>
      </c>
      <c r="E7" s="34" t="s">
        <v>696</v>
      </c>
      <c r="F7" s="36" t="s">
        <v>714</v>
      </c>
      <c r="G7" s="36" t="s">
        <v>1121</v>
      </c>
      <c r="H7" s="37">
        <v>1266</v>
      </c>
      <c r="I7" s="36" t="s">
        <v>697</v>
      </c>
      <c r="J7" s="34" t="s">
        <v>698</v>
      </c>
      <c r="K7" s="38"/>
      <c r="L7" s="36" t="s">
        <v>695</v>
      </c>
      <c r="M7" s="36" t="s">
        <v>695</v>
      </c>
      <c r="N7" s="38"/>
      <c r="O7" s="38"/>
      <c r="P7" s="1"/>
      <c r="Q7" s="40"/>
    </row>
    <row r="8" spans="2:17" ht="16.5" x14ac:dyDescent="0.3">
      <c r="B8" s="33">
        <v>4</v>
      </c>
      <c r="C8" s="34" t="s">
        <v>694</v>
      </c>
      <c r="D8" s="35" t="s">
        <v>711</v>
      </c>
      <c r="E8" s="34" t="s">
        <v>696</v>
      </c>
      <c r="F8" s="36" t="s">
        <v>715</v>
      </c>
      <c r="G8" s="36" t="s">
        <v>1122</v>
      </c>
      <c r="H8" s="37">
        <v>1532</v>
      </c>
      <c r="I8" s="36" t="s">
        <v>697</v>
      </c>
      <c r="J8" s="34" t="s">
        <v>698</v>
      </c>
      <c r="K8" s="38"/>
      <c r="L8" s="36" t="s">
        <v>695</v>
      </c>
      <c r="M8" s="36" t="s">
        <v>695</v>
      </c>
      <c r="N8" s="38"/>
      <c r="O8" s="38"/>
      <c r="P8" s="1"/>
      <c r="Q8" s="40"/>
    </row>
    <row r="9" spans="2:17" ht="16.5" x14ac:dyDescent="0.3">
      <c r="B9" s="33">
        <v>5</v>
      </c>
      <c r="C9" s="34" t="s">
        <v>694</v>
      </c>
      <c r="D9" s="35" t="s">
        <v>711</v>
      </c>
      <c r="E9" s="34" t="s">
        <v>696</v>
      </c>
      <c r="F9" s="36" t="s">
        <v>716</v>
      </c>
      <c r="G9" s="36" t="s">
        <v>1123</v>
      </c>
      <c r="H9" s="37">
        <v>3000</v>
      </c>
      <c r="I9" s="36" t="s">
        <v>697</v>
      </c>
      <c r="J9" s="34" t="s">
        <v>698</v>
      </c>
      <c r="K9" s="38"/>
      <c r="L9" s="36" t="s">
        <v>695</v>
      </c>
      <c r="M9" s="36" t="s">
        <v>695</v>
      </c>
      <c r="N9" s="38"/>
      <c r="O9" s="38"/>
      <c r="P9" s="1"/>
      <c r="Q9" s="40"/>
    </row>
    <row r="10" spans="2:17" ht="16.5" x14ac:dyDescent="0.3">
      <c r="B10" s="33">
        <v>6</v>
      </c>
      <c r="C10" s="34" t="s">
        <v>694</v>
      </c>
      <c r="D10" s="35" t="s">
        <v>711</v>
      </c>
      <c r="E10" s="34" t="s">
        <v>696</v>
      </c>
      <c r="F10" s="36" t="s">
        <v>717</v>
      </c>
      <c r="G10" s="36" t="s">
        <v>1124</v>
      </c>
      <c r="H10" s="37">
        <v>2197</v>
      </c>
      <c r="I10" s="36" t="s">
        <v>697</v>
      </c>
      <c r="J10" s="34" t="s">
        <v>698</v>
      </c>
      <c r="K10" s="38"/>
      <c r="L10" s="36" t="s">
        <v>695</v>
      </c>
      <c r="M10" s="36" t="s">
        <v>695</v>
      </c>
      <c r="N10" s="38"/>
      <c r="O10" s="38"/>
      <c r="P10" s="1"/>
      <c r="Q10" s="40"/>
    </row>
    <row r="11" spans="2:17" ht="16.5" x14ac:dyDescent="0.3">
      <c r="B11" s="33">
        <v>7</v>
      </c>
      <c r="C11" s="34" t="s">
        <v>694</v>
      </c>
      <c r="D11" s="35" t="s">
        <v>711</v>
      </c>
      <c r="E11" s="34" t="s">
        <v>696</v>
      </c>
      <c r="F11" s="36" t="s">
        <v>718</v>
      </c>
      <c r="G11" s="36" t="s">
        <v>1125</v>
      </c>
      <c r="H11" s="37">
        <v>2001</v>
      </c>
      <c r="I11" s="36" t="s">
        <v>697</v>
      </c>
      <c r="J11" s="34" t="s">
        <v>698</v>
      </c>
      <c r="K11" s="38"/>
      <c r="L11" s="36" t="s">
        <v>695</v>
      </c>
      <c r="M11" s="36" t="s">
        <v>695</v>
      </c>
      <c r="N11" s="38"/>
      <c r="O11" s="38"/>
      <c r="P11" s="1"/>
      <c r="Q11" s="40"/>
    </row>
    <row r="12" spans="2:17" ht="16.5" x14ac:dyDescent="0.3">
      <c r="B12" s="33">
        <v>8</v>
      </c>
      <c r="C12" s="34" t="s">
        <v>694</v>
      </c>
      <c r="D12" s="35" t="s">
        <v>711</v>
      </c>
      <c r="E12" s="34" t="s">
        <v>696</v>
      </c>
      <c r="F12" s="36" t="s">
        <v>719</v>
      </c>
      <c r="G12" s="36" t="s">
        <v>1126</v>
      </c>
      <c r="H12" s="37">
        <v>1999</v>
      </c>
      <c r="I12" s="36" t="s">
        <v>697</v>
      </c>
      <c r="J12" s="34" t="s">
        <v>698</v>
      </c>
      <c r="K12" s="38"/>
      <c r="L12" s="36" t="s">
        <v>695</v>
      </c>
      <c r="M12" s="36" t="s">
        <v>695</v>
      </c>
      <c r="N12" s="38"/>
      <c r="O12" s="38"/>
      <c r="P12" s="1"/>
      <c r="Q12" s="40"/>
    </row>
    <row r="13" spans="2:17" ht="16.5" x14ac:dyDescent="0.3">
      <c r="B13" s="33">
        <v>9</v>
      </c>
      <c r="C13" s="34" t="s">
        <v>694</v>
      </c>
      <c r="D13" s="35" t="s">
        <v>711</v>
      </c>
      <c r="E13" s="34" t="s">
        <v>696</v>
      </c>
      <c r="F13" s="36" t="s">
        <v>720</v>
      </c>
      <c r="G13" s="36" t="s">
        <v>1127</v>
      </c>
      <c r="H13" s="37">
        <v>3040</v>
      </c>
      <c r="I13" s="36" t="s">
        <v>697</v>
      </c>
      <c r="J13" s="34" t="s">
        <v>698</v>
      </c>
      <c r="K13" s="38"/>
      <c r="L13" s="36" t="s">
        <v>695</v>
      </c>
      <c r="M13" s="36" t="s">
        <v>695</v>
      </c>
      <c r="N13" s="38"/>
      <c r="O13" s="38"/>
      <c r="P13" s="1"/>
      <c r="Q13" s="40"/>
    </row>
    <row r="14" spans="2:17" ht="16.5" x14ac:dyDescent="0.3">
      <c r="B14" s="33">
        <v>10</v>
      </c>
      <c r="C14" s="34" t="s">
        <v>694</v>
      </c>
      <c r="D14" s="35" t="s">
        <v>711</v>
      </c>
      <c r="E14" s="34" t="s">
        <v>696</v>
      </c>
      <c r="F14" s="36" t="s">
        <v>721</v>
      </c>
      <c r="G14" s="36" t="s">
        <v>1128</v>
      </c>
      <c r="H14" s="37">
        <v>2325</v>
      </c>
      <c r="I14" s="36" t="s">
        <v>697</v>
      </c>
      <c r="J14" s="34" t="s">
        <v>698</v>
      </c>
      <c r="K14" s="38"/>
      <c r="L14" s="36" t="s">
        <v>695</v>
      </c>
      <c r="M14" s="36" t="s">
        <v>695</v>
      </c>
      <c r="N14" s="38"/>
      <c r="O14" s="38"/>
      <c r="P14" s="1"/>
      <c r="Q14" s="40"/>
    </row>
    <row r="15" spans="2:17" ht="16.5" x14ac:dyDescent="0.3">
      <c r="B15" s="33">
        <v>11</v>
      </c>
      <c r="C15" s="34" t="s">
        <v>694</v>
      </c>
      <c r="D15" s="35" t="s">
        <v>711</v>
      </c>
      <c r="E15" s="34" t="s">
        <v>696</v>
      </c>
      <c r="F15" s="36" t="s">
        <v>722</v>
      </c>
      <c r="G15" s="36" t="s">
        <v>1129</v>
      </c>
      <c r="H15" s="37">
        <v>1207</v>
      </c>
      <c r="I15" s="36" t="s">
        <v>697</v>
      </c>
      <c r="J15" s="34" t="s">
        <v>698</v>
      </c>
      <c r="K15" s="38"/>
      <c r="L15" s="36" t="s">
        <v>695</v>
      </c>
      <c r="M15" s="36" t="s">
        <v>695</v>
      </c>
      <c r="N15" s="38"/>
      <c r="O15" s="38"/>
      <c r="P15" s="1"/>
      <c r="Q15" s="40"/>
    </row>
    <row r="16" spans="2:17" ht="16.5" x14ac:dyDescent="0.3">
      <c r="B16" s="33">
        <v>12</v>
      </c>
      <c r="C16" s="34" t="s">
        <v>694</v>
      </c>
      <c r="D16" s="35" t="s">
        <v>711</v>
      </c>
      <c r="E16" s="34" t="s">
        <v>696</v>
      </c>
      <c r="F16" s="36" t="s">
        <v>723</v>
      </c>
      <c r="G16" s="36" t="s">
        <v>1130</v>
      </c>
      <c r="H16" s="37">
        <v>3817</v>
      </c>
      <c r="I16" s="36" t="s">
        <v>697</v>
      </c>
      <c r="J16" s="34" t="s">
        <v>698</v>
      </c>
      <c r="K16" s="38"/>
      <c r="L16" s="36" t="s">
        <v>695</v>
      </c>
      <c r="M16" s="36" t="s">
        <v>695</v>
      </c>
      <c r="N16" s="38"/>
      <c r="O16" s="38"/>
      <c r="P16" s="1"/>
      <c r="Q16" s="40"/>
    </row>
    <row r="17" spans="2:17" ht="16.5" x14ac:dyDescent="0.3">
      <c r="B17" s="33">
        <v>13</v>
      </c>
      <c r="C17" s="34" t="s">
        <v>694</v>
      </c>
      <c r="D17" s="35" t="s">
        <v>711</v>
      </c>
      <c r="E17" s="34" t="s">
        <v>696</v>
      </c>
      <c r="F17" s="36" t="s">
        <v>724</v>
      </c>
      <c r="G17" s="36" t="s">
        <v>1131</v>
      </c>
      <c r="H17" s="37">
        <v>1507</v>
      </c>
      <c r="I17" s="36" t="s">
        <v>697</v>
      </c>
      <c r="J17" s="34" t="s">
        <v>698</v>
      </c>
      <c r="K17" s="38"/>
      <c r="L17" s="36" t="s">
        <v>695</v>
      </c>
      <c r="M17" s="36" t="s">
        <v>695</v>
      </c>
      <c r="N17" s="38"/>
      <c r="O17" s="38"/>
      <c r="P17" s="1"/>
      <c r="Q17" s="40"/>
    </row>
    <row r="18" spans="2:17" ht="16.5" x14ac:dyDescent="0.3">
      <c r="B18" s="33">
        <v>14</v>
      </c>
      <c r="C18" s="34" t="s">
        <v>694</v>
      </c>
      <c r="D18" s="35" t="s">
        <v>711</v>
      </c>
      <c r="E18" s="34" t="s">
        <v>696</v>
      </c>
      <c r="F18" s="36" t="s">
        <v>725</v>
      </c>
      <c r="G18" s="36" t="s">
        <v>1132</v>
      </c>
      <c r="H18" s="37">
        <v>1001</v>
      </c>
      <c r="I18" s="36" t="s">
        <v>697</v>
      </c>
      <c r="J18" s="34" t="s">
        <v>698</v>
      </c>
      <c r="K18" s="38"/>
      <c r="L18" s="36" t="s">
        <v>695</v>
      </c>
      <c r="M18" s="36" t="s">
        <v>695</v>
      </c>
      <c r="N18" s="38"/>
      <c r="O18" s="38"/>
      <c r="P18" s="1"/>
      <c r="Q18" s="40"/>
    </row>
    <row r="19" spans="2:17" ht="16.5" x14ac:dyDescent="0.3">
      <c r="B19" s="33">
        <v>15</v>
      </c>
      <c r="C19" s="34" t="s">
        <v>694</v>
      </c>
      <c r="D19" s="35" t="s">
        <v>711</v>
      </c>
      <c r="E19" s="34" t="s">
        <v>696</v>
      </c>
      <c r="F19" s="36" t="s">
        <v>726</v>
      </c>
      <c r="G19" s="36" t="s">
        <v>1133</v>
      </c>
      <c r="H19" s="37">
        <v>1521</v>
      </c>
      <c r="I19" s="36" t="s">
        <v>697</v>
      </c>
      <c r="J19" s="34" t="s">
        <v>698</v>
      </c>
      <c r="K19" s="38"/>
      <c r="L19" s="36" t="s">
        <v>695</v>
      </c>
      <c r="M19" s="36" t="s">
        <v>695</v>
      </c>
      <c r="N19" s="38"/>
      <c r="O19" s="38"/>
      <c r="P19" s="1"/>
      <c r="Q19" s="40"/>
    </row>
    <row r="20" spans="2:17" ht="16.5" x14ac:dyDescent="0.3">
      <c r="B20" s="33">
        <v>16</v>
      </c>
      <c r="C20" s="34" t="s">
        <v>694</v>
      </c>
      <c r="D20" s="35" t="s">
        <v>711</v>
      </c>
      <c r="E20" s="34" t="s">
        <v>696</v>
      </c>
      <c r="F20" s="36" t="s">
        <v>727</v>
      </c>
      <c r="G20" s="36" t="s">
        <v>1134</v>
      </c>
      <c r="H20" s="37">
        <v>5200</v>
      </c>
      <c r="I20" s="36" t="s">
        <v>697</v>
      </c>
      <c r="J20" s="34" t="s">
        <v>698</v>
      </c>
      <c r="K20" s="38"/>
      <c r="L20" s="36" t="s">
        <v>695</v>
      </c>
      <c r="M20" s="36" t="s">
        <v>695</v>
      </c>
      <c r="N20" s="38"/>
      <c r="O20" s="38"/>
      <c r="P20" s="1"/>
      <c r="Q20" s="40"/>
    </row>
    <row r="21" spans="2:17" ht="16.5" x14ac:dyDescent="0.3">
      <c r="B21" s="33">
        <v>17</v>
      </c>
      <c r="C21" s="34" t="s">
        <v>694</v>
      </c>
      <c r="D21" s="35" t="s">
        <v>711</v>
      </c>
      <c r="E21" s="34" t="s">
        <v>696</v>
      </c>
      <c r="F21" s="36" t="s">
        <v>728</v>
      </c>
      <c r="G21" s="36" t="s">
        <v>1135</v>
      </c>
      <c r="H21" s="37">
        <v>2238</v>
      </c>
      <c r="I21" s="36" t="s">
        <v>697</v>
      </c>
      <c r="J21" s="34" t="s">
        <v>698</v>
      </c>
      <c r="K21" s="38"/>
      <c r="L21" s="36" t="s">
        <v>695</v>
      </c>
      <c r="M21" s="36" t="s">
        <v>695</v>
      </c>
      <c r="N21" s="38"/>
      <c r="O21" s="38"/>
      <c r="P21" s="1"/>
      <c r="Q21" s="40"/>
    </row>
    <row r="22" spans="2:17" ht="16.5" x14ac:dyDescent="0.3">
      <c r="B22" s="33">
        <v>18</v>
      </c>
      <c r="C22" s="34" t="s">
        <v>694</v>
      </c>
      <c r="D22" s="35" t="s">
        <v>711</v>
      </c>
      <c r="E22" s="34" t="s">
        <v>696</v>
      </c>
      <c r="F22" s="36" t="s">
        <v>729</v>
      </c>
      <c r="G22" s="36" t="s">
        <v>1136</v>
      </c>
      <c r="H22" s="37">
        <v>2400</v>
      </c>
      <c r="I22" s="36" t="s">
        <v>697</v>
      </c>
      <c r="J22" s="34" t="s">
        <v>698</v>
      </c>
      <c r="K22" s="38"/>
      <c r="L22" s="36" t="s">
        <v>695</v>
      </c>
      <c r="M22" s="36" t="s">
        <v>695</v>
      </c>
      <c r="N22" s="38"/>
      <c r="O22" s="38"/>
      <c r="P22" s="1"/>
      <c r="Q22" s="40"/>
    </row>
    <row r="23" spans="2:17" ht="16.5" x14ac:dyDescent="0.3">
      <c r="B23" s="33">
        <v>19</v>
      </c>
      <c r="C23" s="34" t="s">
        <v>694</v>
      </c>
      <c r="D23" s="35" t="s">
        <v>711</v>
      </c>
      <c r="E23" s="34" t="s">
        <v>696</v>
      </c>
      <c r="F23" s="36" t="s">
        <v>730</v>
      </c>
      <c r="G23" s="36" t="s">
        <v>1137</v>
      </c>
      <c r="H23" s="37">
        <v>1000</v>
      </c>
      <c r="I23" s="36" t="s">
        <v>697</v>
      </c>
      <c r="J23" s="34" t="s">
        <v>698</v>
      </c>
      <c r="K23" s="38"/>
      <c r="L23" s="36" t="s">
        <v>695</v>
      </c>
      <c r="M23" s="36" t="s">
        <v>695</v>
      </c>
      <c r="N23" s="38"/>
      <c r="O23" s="38"/>
      <c r="P23" s="1"/>
      <c r="Q23" s="40"/>
    </row>
    <row r="24" spans="2:17" ht="16.5" x14ac:dyDescent="0.3">
      <c r="B24" s="33">
        <v>20</v>
      </c>
      <c r="C24" s="34" t="s">
        <v>694</v>
      </c>
      <c r="D24" s="35" t="s">
        <v>711</v>
      </c>
      <c r="E24" s="34" t="s">
        <v>696</v>
      </c>
      <c r="F24" s="36" t="s">
        <v>731</v>
      </c>
      <c r="G24" s="36" t="s">
        <v>1138</v>
      </c>
      <c r="H24" s="37">
        <v>1340</v>
      </c>
      <c r="I24" s="36" t="s">
        <v>697</v>
      </c>
      <c r="J24" s="34" t="s">
        <v>698</v>
      </c>
      <c r="K24" s="38"/>
      <c r="L24" s="36" t="s">
        <v>695</v>
      </c>
      <c r="M24" s="36" t="s">
        <v>695</v>
      </c>
      <c r="N24" s="38"/>
      <c r="O24" s="38"/>
      <c r="P24" s="1"/>
      <c r="Q24" s="40"/>
    </row>
    <row r="25" spans="2:17" ht="16.5" x14ac:dyDescent="0.3">
      <c r="B25" s="33">
        <v>21</v>
      </c>
      <c r="C25" s="34" t="s">
        <v>694</v>
      </c>
      <c r="D25" s="35" t="s">
        <v>711</v>
      </c>
      <c r="E25" s="34" t="s">
        <v>696</v>
      </c>
      <c r="F25" s="36" t="s">
        <v>732</v>
      </c>
      <c r="G25" s="36" t="s">
        <v>1139</v>
      </c>
      <c r="H25" s="37">
        <v>4500</v>
      </c>
      <c r="I25" s="36" t="s">
        <v>697</v>
      </c>
      <c r="J25" s="34" t="s">
        <v>698</v>
      </c>
      <c r="K25" s="38"/>
      <c r="L25" s="36" t="s">
        <v>695</v>
      </c>
      <c r="M25" s="36" t="s">
        <v>695</v>
      </c>
      <c r="N25" s="38"/>
      <c r="O25" s="38"/>
      <c r="P25" s="1"/>
      <c r="Q25" s="40"/>
    </row>
    <row r="26" spans="2:17" ht="16.5" x14ac:dyDescent="0.3">
      <c r="B26" s="33">
        <v>22</v>
      </c>
      <c r="C26" s="34" t="s">
        <v>694</v>
      </c>
      <c r="D26" s="35" t="s">
        <v>711</v>
      </c>
      <c r="E26" s="34" t="s">
        <v>696</v>
      </c>
      <c r="F26" s="36" t="s">
        <v>733</v>
      </c>
      <c r="G26" s="36" t="s">
        <v>1140</v>
      </c>
      <c r="H26" s="37">
        <v>2120</v>
      </c>
      <c r="I26" s="36" t="s">
        <v>697</v>
      </c>
      <c r="J26" s="34" t="s">
        <v>698</v>
      </c>
      <c r="K26" s="38"/>
      <c r="L26" s="36" t="s">
        <v>695</v>
      </c>
      <c r="M26" s="36" t="s">
        <v>695</v>
      </c>
      <c r="N26" s="38"/>
      <c r="O26" s="38"/>
      <c r="P26" s="1"/>
      <c r="Q26" s="40"/>
    </row>
    <row r="27" spans="2:17" ht="16.5" x14ac:dyDescent="0.3">
      <c r="B27" s="33">
        <v>23</v>
      </c>
      <c r="C27" s="34" t="s">
        <v>694</v>
      </c>
      <c r="D27" s="35" t="s">
        <v>711</v>
      </c>
      <c r="E27" s="34" t="s">
        <v>696</v>
      </c>
      <c r="F27" s="36" t="s">
        <v>734</v>
      </c>
      <c r="G27" s="36" t="s">
        <v>1141</v>
      </c>
      <c r="H27" s="37">
        <v>1125</v>
      </c>
      <c r="I27" s="36" t="s">
        <v>697</v>
      </c>
      <c r="J27" s="34" t="s">
        <v>698</v>
      </c>
      <c r="K27" s="38"/>
      <c r="L27" s="36" t="s">
        <v>695</v>
      </c>
      <c r="M27" s="36" t="s">
        <v>695</v>
      </c>
      <c r="N27" s="38"/>
      <c r="O27" s="38"/>
      <c r="P27" s="1"/>
      <c r="Q27" s="40"/>
    </row>
    <row r="28" spans="2:17" ht="16.5" x14ac:dyDescent="0.3">
      <c r="B28" s="33">
        <v>24</v>
      </c>
      <c r="C28" s="34" t="s">
        <v>694</v>
      </c>
      <c r="D28" s="35" t="s">
        <v>711</v>
      </c>
      <c r="E28" s="34" t="s">
        <v>696</v>
      </c>
      <c r="F28" s="36" t="s">
        <v>735</v>
      </c>
      <c r="G28" s="36" t="s">
        <v>1142</v>
      </c>
      <c r="H28" s="37">
        <v>1238</v>
      </c>
      <c r="I28" s="36" t="s">
        <v>697</v>
      </c>
      <c r="J28" s="34" t="s">
        <v>698</v>
      </c>
      <c r="K28" s="38"/>
      <c r="L28" s="36" t="s">
        <v>695</v>
      </c>
      <c r="M28" s="36" t="s">
        <v>695</v>
      </c>
      <c r="N28" s="38"/>
      <c r="O28" s="38"/>
      <c r="P28" s="1"/>
      <c r="Q28" s="40"/>
    </row>
    <row r="29" spans="2:17" ht="16.5" x14ac:dyDescent="0.3">
      <c r="B29" s="33">
        <v>25</v>
      </c>
      <c r="C29" s="34" t="s">
        <v>694</v>
      </c>
      <c r="D29" s="35" t="s">
        <v>711</v>
      </c>
      <c r="E29" s="34" t="s">
        <v>696</v>
      </c>
      <c r="F29" s="36" t="s">
        <v>736</v>
      </c>
      <c r="G29" s="36" t="s">
        <v>1143</v>
      </c>
      <c r="H29" s="37">
        <v>7514</v>
      </c>
      <c r="I29" s="36" t="s">
        <v>697</v>
      </c>
      <c r="J29" s="34" t="s">
        <v>698</v>
      </c>
      <c r="K29" s="38"/>
      <c r="L29" s="36" t="s">
        <v>695</v>
      </c>
      <c r="M29" s="36" t="s">
        <v>695</v>
      </c>
      <c r="N29" s="38"/>
      <c r="O29" s="38"/>
      <c r="P29" s="1"/>
      <c r="Q29" s="40"/>
    </row>
    <row r="30" spans="2:17" ht="16.5" x14ac:dyDescent="0.3">
      <c r="B30" s="33">
        <v>26</v>
      </c>
      <c r="C30" s="34" t="s">
        <v>694</v>
      </c>
      <c r="D30" s="35" t="s">
        <v>711</v>
      </c>
      <c r="E30" s="34" t="s">
        <v>696</v>
      </c>
      <c r="F30" s="36" t="s">
        <v>737</v>
      </c>
      <c r="G30" s="36" t="s">
        <v>1144</v>
      </c>
      <c r="H30" s="37">
        <v>6120</v>
      </c>
      <c r="I30" s="36" t="s">
        <v>697</v>
      </c>
      <c r="J30" s="34" t="s">
        <v>698</v>
      </c>
      <c r="K30" s="38"/>
      <c r="L30" s="36" t="s">
        <v>695</v>
      </c>
      <c r="M30" s="36" t="s">
        <v>695</v>
      </c>
      <c r="N30" s="38"/>
      <c r="O30" s="38"/>
      <c r="P30" s="1"/>
      <c r="Q30" s="40"/>
    </row>
    <row r="31" spans="2:17" ht="16.5" x14ac:dyDescent="0.3">
      <c r="B31" s="33">
        <v>27</v>
      </c>
      <c r="C31" s="34" t="s">
        <v>694</v>
      </c>
      <c r="D31" s="35" t="s">
        <v>711</v>
      </c>
      <c r="E31" s="34" t="s">
        <v>696</v>
      </c>
      <c r="F31" s="36" t="s">
        <v>738</v>
      </c>
      <c r="G31" s="36" t="s">
        <v>1145</v>
      </c>
      <c r="H31" s="37">
        <v>1002</v>
      </c>
      <c r="I31" s="36" t="s">
        <v>697</v>
      </c>
      <c r="J31" s="34" t="s">
        <v>698</v>
      </c>
      <c r="K31" s="38"/>
      <c r="L31" s="36" t="s">
        <v>695</v>
      </c>
      <c r="M31" s="36" t="s">
        <v>695</v>
      </c>
      <c r="N31" s="38"/>
      <c r="O31" s="38"/>
      <c r="P31" s="1"/>
      <c r="Q31" s="40"/>
    </row>
    <row r="32" spans="2:17" ht="16.5" x14ac:dyDescent="0.3">
      <c r="B32" s="33">
        <v>28</v>
      </c>
      <c r="C32" s="34" t="s">
        <v>694</v>
      </c>
      <c r="D32" s="35" t="s">
        <v>711</v>
      </c>
      <c r="E32" s="34" t="s">
        <v>696</v>
      </c>
      <c r="F32" s="36" t="s">
        <v>739</v>
      </c>
      <c r="G32" s="36" t="s">
        <v>1146</v>
      </c>
      <c r="H32" s="37">
        <v>952</v>
      </c>
      <c r="I32" s="36" t="s">
        <v>697</v>
      </c>
      <c r="J32" s="34" t="s">
        <v>698</v>
      </c>
      <c r="K32" s="38"/>
      <c r="L32" s="36" t="s">
        <v>695</v>
      </c>
      <c r="M32" s="36" t="s">
        <v>695</v>
      </c>
      <c r="N32" s="38"/>
      <c r="O32" s="38"/>
      <c r="P32" s="1"/>
      <c r="Q32" s="40"/>
    </row>
    <row r="33" spans="2:17" ht="16.5" x14ac:dyDescent="0.3">
      <c r="B33" s="33">
        <v>29</v>
      </c>
      <c r="C33" s="34" t="s">
        <v>694</v>
      </c>
      <c r="D33" s="35" t="s">
        <v>711</v>
      </c>
      <c r="E33" s="34" t="s">
        <v>696</v>
      </c>
      <c r="F33" s="36" t="s">
        <v>740</v>
      </c>
      <c r="G33" s="36" t="s">
        <v>1147</v>
      </c>
      <c r="H33" s="37">
        <v>2210</v>
      </c>
      <c r="I33" s="36" t="s">
        <v>697</v>
      </c>
      <c r="J33" s="34" t="s">
        <v>698</v>
      </c>
      <c r="K33" s="38"/>
      <c r="L33" s="36" t="s">
        <v>695</v>
      </c>
      <c r="M33" s="36" t="s">
        <v>695</v>
      </c>
      <c r="N33" s="38"/>
      <c r="O33" s="38"/>
      <c r="P33" s="1"/>
      <c r="Q33" s="40"/>
    </row>
    <row r="34" spans="2:17" ht="16.5" x14ac:dyDescent="0.3">
      <c r="B34" s="33">
        <v>30</v>
      </c>
      <c r="C34" s="34" t="s">
        <v>694</v>
      </c>
      <c r="D34" s="35" t="s">
        <v>711</v>
      </c>
      <c r="E34" s="34" t="s">
        <v>696</v>
      </c>
      <c r="F34" s="36" t="s">
        <v>741</v>
      </c>
      <c r="G34" s="36" t="s">
        <v>1148</v>
      </c>
      <c r="H34" s="37">
        <v>644</v>
      </c>
      <c r="I34" s="36" t="s">
        <v>697</v>
      </c>
      <c r="J34" s="34" t="s">
        <v>698</v>
      </c>
      <c r="K34" s="38"/>
      <c r="L34" s="36" t="s">
        <v>695</v>
      </c>
      <c r="M34" s="36" t="s">
        <v>695</v>
      </c>
      <c r="N34" s="38"/>
      <c r="O34" s="38"/>
      <c r="P34" s="1"/>
      <c r="Q34" s="40"/>
    </row>
    <row r="35" spans="2:17" ht="16.5" x14ac:dyDescent="0.3">
      <c r="B35" s="33">
        <v>31</v>
      </c>
      <c r="C35" s="34" t="s">
        <v>694</v>
      </c>
      <c r="D35" s="35" t="s">
        <v>711</v>
      </c>
      <c r="E35" s="34" t="s">
        <v>696</v>
      </c>
      <c r="F35" s="36" t="s">
        <v>742</v>
      </c>
      <c r="G35" s="36" t="s">
        <v>1149</v>
      </c>
      <c r="H35" s="37">
        <v>12743</v>
      </c>
      <c r="I35" s="36" t="s">
        <v>697</v>
      </c>
      <c r="J35" s="34" t="s">
        <v>698</v>
      </c>
      <c r="K35" s="38"/>
      <c r="L35" s="36" t="s">
        <v>695</v>
      </c>
      <c r="M35" s="36" t="s">
        <v>695</v>
      </c>
      <c r="N35" s="38"/>
      <c r="O35" s="38"/>
      <c r="P35" s="1"/>
      <c r="Q35" s="40"/>
    </row>
    <row r="36" spans="2:17" ht="16.5" x14ac:dyDescent="0.3">
      <c r="B36" s="33">
        <v>32</v>
      </c>
      <c r="C36" s="34" t="s">
        <v>694</v>
      </c>
      <c r="D36" s="35" t="s">
        <v>711</v>
      </c>
      <c r="E36" s="34" t="s">
        <v>696</v>
      </c>
      <c r="F36" s="36" t="s">
        <v>743</v>
      </c>
      <c r="G36" s="36" t="s">
        <v>1150</v>
      </c>
      <c r="H36" s="37">
        <v>1642</v>
      </c>
      <c r="I36" s="36" t="s">
        <v>697</v>
      </c>
      <c r="J36" s="34" t="s">
        <v>698</v>
      </c>
      <c r="K36" s="38"/>
      <c r="L36" s="36" t="s">
        <v>695</v>
      </c>
      <c r="M36" s="36" t="s">
        <v>695</v>
      </c>
      <c r="N36" s="38"/>
      <c r="O36" s="38"/>
      <c r="P36" s="1"/>
      <c r="Q36" s="40"/>
    </row>
    <row r="37" spans="2:17" ht="16.5" x14ac:dyDescent="0.3">
      <c r="B37" s="33">
        <v>33</v>
      </c>
      <c r="C37" s="34" t="s">
        <v>694</v>
      </c>
      <c r="D37" s="35" t="s">
        <v>711</v>
      </c>
      <c r="E37" s="34" t="s">
        <v>696</v>
      </c>
      <c r="F37" s="36" t="s">
        <v>744</v>
      </c>
      <c r="G37" s="36" t="s">
        <v>1151</v>
      </c>
      <c r="H37" s="37">
        <v>2100</v>
      </c>
      <c r="I37" s="36" t="s">
        <v>697</v>
      </c>
      <c r="J37" s="34" t="s">
        <v>698</v>
      </c>
      <c r="K37" s="38"/>
      <c r="L37" s="36" t="s">
        <v>695</v>
      </c>
      <c r="M37" s="36" t="s">
        <v>695</v>
      </c>
      <c r="N37" s="38"/>
      <c r="O37" s="38"/>
      <c r="P37" s="1"/>
      <c r="Q37" s="40"/>
    </row>
    <row r="38" spans="2:17" ht="16.5" x14ac:dyDescent="0.3">
      <c r="B38" s="33">
        <v>34</v>
      </c>
      <c r="C38" s="34" t="s">
        <v>694</v>
      </c>
      <c r="D38" s="35" t="s">
        <v>711</v>
      </c>
      <c r="E38" s="34" t="s">
        <v>696</v>
      </c>
      <c r="F38" s="36" t="s">
        <v>745</v>
      </c>
      <c r="G38" s="36" t="s">
        <v>1152</v>
      </c>
      <c r="H38" s="37">
        <v>1237</v>
      </c>
      <c r="I38" s="36" t="s">
        <v>697</v>
      </c>
      <c r="J38" s="34" t="s">
        <v>698</v>
      </c>
      <c r="K38" s="38"/>
      <c r="L38" s="36" t="s">
        <v>695</v>
      </c>
      <c r="M38" s="36" t="s">
        <v>695</v>
      </c>
      <c r="N38" s="38"/>
      <c r="O38" s="38"/>
      <c r="P38" s="1"/>
      <c r="Q38" s="40"/>
    </row>
    <row r="39" spans="2:17" ht="16.5" x14ac:dyDescent="0.3">
      <c r="B39" s="33">
        <v>35</v>
      </c>
      <c r="C39" s="34" t="s">
        <v>694</v>
      </c>
      <c r="D39" s="35" t="s">
        <v>711</v>
      </c>
      <c r="E39" s="34" t="s">
        <v>696</v>
      </c>
      <c r="F39" s="36" t="s">
        <v>746</v>
      </c>
      <c r="G39" s="36" t="s">
        <v>1153</v>
      </c>
      <c r="H39" s="37">
        <v>4476</v>
      </c>
      <c r="I39" s="36" t="s">
        <v>697</v>
      </c>
      <c r="J39" s="34" t="s">
        <v>698</v>
      </c>
      <c r="K39" s="38"/>
      <c r="L39" s="36" t="s">
        <v>695</v>
      </c>
      <c r="M39" s="36" t="s">
        <v>695</v>
      </c>
      <c r="N39" s="38"/>
      <c r="O39" s="38"/>
      <c r="P39" s="1"/>
      <c r="Q39" s="40"/>
    </row>
    <row r="40" spans="2:17" ht="16.5" x14ac:dyDescent="0.3">
      <c r="B40" s="33">
        <v>36</v>
      </c>
      <c r="C40" s="34" t="s">
        <v>694</v>
      </c>
      <c r="D40" s="35" t="s">
        <v>711</v>
      </c>
      <c r="E40" s="34" t="s">
        <v>696</v>
      </c>
      <c r="F40" s="36" t="s">
        <v>747</v>
      </c>
      <c r="G40" s="36" t="s">
        <v>1154</v>
      </c>
      <c r="H40" s="37">
        <v>3047</v>
      </c>
      <c r="I40" s="36" t="s">
        <v>697</v>
      </c>
      <c r="J40" s="34" t="s">
        <v>698</v>
      </c>
      <c r="K40" s="38"/>
      <c r="L40" s="36" t="s">
        <v>695</v>
      </c>
      <c r="M40" s="36" t="s">
        <v>695</v>
      </c>
      <c r="N40" s="38"/>
      <c r="O40" s="38"/>
      <c r="P40" s="1"/>
      <c r="Q40" s="40"/>
    </row>
    <row r="41" spans="2:17" ht="16.5" x14ac:dyDescent="0.3">
      <c r="B41" s="33">
        <v>37</v>
      </c>
      <c r="C41" s="34" t="s">
        <v>694</v>
      </c>
      <c r="D41" s="35" t="s">
        <v>711</v>
      </c>
      <c r="E41" s="34" t="s">
        <v>696</v>
      </c>
      <c r="F41" s="36" t="s">
        <v>748</v>
      </c>
      <c r="G41" s="36" t="s">
        <v>1155</v>
      </c>
      <c r="H41" s="37">
        <v>1584</v>
      </c>
      <c r="I41" s="36" t="s">
        <v>697</v>
      </c>
      <c r="J41" s="34" t="s">
        <v>698</v>
      </c>
      <c r="K41" s="38"/>
      <c r="L41" s="36" t="s">
        <v>695</v>
      </c>
      <c r="M41" s="36" t="s">
        <v>695</v>
      </c>
      <c r="N41" s="38"/>
      <c r="O41" s="38"/>
      <c r="P41" s="1"/>
      <c r="Q41" s="40"/>
    </row>
    <row r="42" spans="2:17" ht="16.5" x14ac:dyDescent="0.3">
      <c r="B42" s="33">
        <v>38</v>
      </c>
      <c r="C42" s="34" t="s">
        <v>694</v>
      </c>
      <c r="D42" s="35" t="s">
        <v>711</v>
      </c>
      <c r="E42" s="34" t="s">
        <v>696</v>
      </c>
      <c r="F42" s="36" t="s">
        <v>749</v>
      </c>
      <c r="G42" s="36" t="s">
        <v>1156</v>
      </c>
      <c r="H42" s="37">
        <v>1062</v>
      </c>
      <c r="I42" s="36" t="s">
        <v>697</v>
      </c>
      <c r="J42" s="34" t="s">
        <v>698</v>
      </c>
      <c r="K42" s="38"/>
      <c r="L42" s="36" t="s">
        <v>695</v>
      </c>
      <c r="M42" s="36" t="s">
        <v>695</v>
      </c>
      <c r="N42" s="38"/>
      <c r="O42" s="38"/>
      <c r="P42" s="1"/>
      <c r="Q42" s="40"/>
    </row>
    <row r="43" spans="2:17" ht="16.5" x14ac:dyDescent="0.3">
      <c r="B43" s="33">
        <v>39</v>
      </c>
      <c r="C43" s="34" t="s">
        <v>694</v>
      </c>
      <c r="D43" s="35" t="s">
        <v>711</v>
      </c>
      <c r="E43" s="34" t="s">
        <v>696</v>
      </c>
      <c r="F43" s="36" t="s">
        <v>750</v>
      </c>
      <c r="G43" s="36" t="s">
        <v>1157</v>
      </c>
      <c r="H43" s="37">
        <v>998</v>
      </c>
      <c r="I43" s="36" t="s">
        <v>697</v>
      </c>
      <c r="J43" s="34" t="s">
        <v>698</v>
      </c>
      <c r="K43" s="38"/>
      <c r="L43" s="36" t="s">
        <v>695</v>
      </c>
      <c r="M43" s="36" t="s">
        <v>695</v>
      </c>
      <c r="N43" s="38"/>
      <c r="O43" s="38"/>
      <c r="P43" s="1"/>
      <c r="Q43" s="40"/>
    </row>
    <row r="44" spans="2:17" ht="16.5" x14ac:dyDescent="0.3">
      <c r="B44" s="33">
        <v>40</v>
      </c>
      <c r="C44" s="34" t="s">
        <v>694</v>
      </c>
      <c r="D44" s="35" t="s">
        <v>711</v>
      </c>
      <c r="E44" s="34" t="s">
        <v>696</v>
      </c>
      <c r="F44" s="36" t="s">
        <v>751</v>
      </c>
      <c r="G44" s="36" t="s">
        <v>1158</v>
      </c>
      <c r="H44" s="37">
        <v>10000</v>
      </c>
      <c r="I44" s="36" t="s">
        <v>697</v>
      </c>
      <c r="J44" s="34" t="s">
        <v>698</v>
      </c>
      <c r="K44" s="38"/>
      <c r="L44" s="36" t="s">
        <v>695</v>
      </c>
      <c r="M44" s="36" t="s">
        <v>695</v>
      </c>
      <c r="N44" s="38"/>
      <c r="O44" s="38"/>
      <c r="P44" s="1"/>
      <c r="Q44" s="40"/>
    </row>
    <row r="45" spans="2:17" ht="16.5" x14ac:dyDescent="0.3">
      <c r="B45" s="33">
        <v>41</v>
      </c>
      <c r="C45" s="34" t="s">
        <v>694</v>
      </c>
      <c r="D45" s="35" t="s">
        <v>711</v>
      </c>
      <c r="E45" s="34" t="s">
        <v>696</v>
      </c>
      <c r="F45" s="36" t="s">
        <v>752</v>
      </c>
      <c r="G45" s="36" t="s">
        <v>1159</v>
      </c>
      <c r="H45" s="37">
        <v>1560</v>
      </c>
      <c r="I45" s="36" t="s">
        <v>697</v>
      </c>
      <c r="J45" s="34" t="s">
        <v>698</v>
      </c>
      <c r="K45" s="38"/>
      <c r="L45" s="36" t="s">
        <v>695</v>
      </c>
      <c r="M45" s="36" t="s">
        <v>695</v>
      </c>
      <c r="N45" s="38"/>
      <c r="O45" s="38"/>
      <c r="P45" s="1"/>
      <c r="Q45" s="40"/>
    </row>
    <row r="46" spans="2:17" ht="16.5" x14ac:dyDescent="0.3">
      <c r="B46" s="33">
        <v>42</v>
      </c>
      <c r="C46" s="34" t="s">
        <v>694</v>
      </c>
      <c r="D46" s="35" t="s">
        <v>711</v>
      </c>
      <c r="E46" s="34" t="s">
        <v>696</v>
      </c>
      <c r="F46" s="36" t="s">
        <v>753</v>
      </c>
      <c r="G46" s="36" t="s">
        <v>1160</v>
      </c>
      <c r="H46" s="37">
        <v>2020</v>
      </c>
      <c r="I46" s="36" t="s">
        <v>697</v>
      </c>
      <c r="J46" s="34" t="s">
        <v>698</v>
      </c>
      <c r="K46" s="38"/>
      <c r="L46" s="36" t="s">
        <v>695</v>
      </c>
      <c r="M46" s="36" t="s">
        <v>695</v>
      </c>
      <c r="N46" s="38"/>
      <c r="O46" s="38"/>
      <c r="P46" s="1"/>
      <c r="Q46" s="40"/>
    </row>
    <row r="47" spans="2:17" ht="16.5" x14ac:dyDescent="0.3">
      <c r="B47" s="33">
        <v>43</v>
      </c>
      <c r="C47" s="34" t="s">
        <v>694</v>
      </c>
      <c r="D47" s="35" t="s">
        <v>711</v>
      </c>
      <c r="E47" s="34" t="s">
        <v>696</v>
      </c>
      <c r="F47" s="36" t="s">
        <v>754</v>
      </c>
      <c r="G47" s="36" t="s">
        <v>1161</v>
      </c>
      <c r="H47" s="37">
        <v>3056</v>
      </c>
      <c r="I47" s="36" t="s">
        <v>700</v>
      </c>
      <c r="J47" s="34" t="s">
        <v>698</v>
      </c>
      <c r="K47" s="38"/>
      <c r="L47" s="36" t="s">
        <v>695</v>
      </c>
      <c r="M47" s="36" t="s">
        <v>695</v>
      </c>
      <c r="N47" s="38"/>
      <c r="O47" s="38"/>
      <c r="P47" s="1"/>
      <c r="Q47" s="40"/>
    </row>
    <row r="48" spans="2:17" ht="16.5" x14ac:dyDescent="0.3">
      <c r="B48" s="33">
        <v>44</v>
      </c>
      <c r="C48" s="34" t="s">
        <v>694</v>
      </c>
      <c r="D48" s="35" t="s">
        <v>711</v>
      </c>
      <c r="E48" s="34" t="s">
        <v>696</v>
      </c>
      <c r="F48" s="36" t="s">
        <v>755</v>
      </c>
      <c r="G48" s="36" t="s">
        <v>1162</v>
      </c>
      <c r="H48" s="37">
        <v>2400</v>
      </c>
      <c r="I48" s="36" t="s">
        <v>697</v>
      </c>
      <c r="J48" s="34" t="s">
        <v>698</v>
      </c>
      <c r="K48" s="38"/>
      <c r="L48" s="36" t="s">
        <v>695</v>
      </c>
      <c r="M48" s="36" t="s">
        <v>695</v>
      </c>
      <c r="N48" s="38"/>
      <c r="O48" s="38"/>
      <c r="P48" s="1"/>
      <c r="Q48" s="40"/>
    </row>
    <row r="49" spans="2:17" ht="16.5" x14ac:dyDescent="0.3">
      <c r="B49" s="33">
        <v>45</v>
      </c>
      <c r="C49" s="34" t="s">
        <v>694</v>
      </c>
      <c r="D49" s="35" t="s">
        <v>711</v>
      </c>
      <c r="E49" s="34" t="s">
        <v>696</v>
      </c>
      <c r="F49" s="36" t="s">
        <v>756</v>
      </c>
      <c r="G49" s="36" t="s">
        <v>1163</v>
      </c>
      <c r="H49" s="37">
        <v>1165</v>
      </c>
      <c r="I49" s="36" t="s">
        <v>697</v>
      </c>
      <c r="J49" s="34" t="s">
        <v>698</v>
      </c>
      <c r="K49" s="38"/>
      <c r="L49" s="36" t="s">
        <v>695</v>
      </c>
      <c r="M49" s="36" t="s">
        <v>695</v>
      </c>
      <c r="N49" s="38"/>
      <c r="O49" s="38"/>
      <c r="P49" s="1"/>
      <c r="Q49" s="40"/>
    </row>
    <row r="50" spans="2:17" ht="16.5" x14ac:dyDescent="0.3">
      <c r="B50" s="33">
        <v>46</v>
      </c>
      <c r="C50" s="34" t="s">
        <v>694</v>
      </c>
      <c r="D50" s="35" t="s">
        <v>711</v>
      </c>
      <c r="E50" s="34" t="s">
        <v>696</v>
      </c>
      <c r="F50" s="36" t="s">
        <v>757</v>
      </c>
      <c r="G50" s="36" t="s">
        <v>1164</v>
      </c>
      <c r="H50" s="37">
        <v>1070</v>
      </c>
      <c r="I50" s="36" t="s">
        <v>697</v>
      </c>
      <c r="J50" s="34" t="s">
        <v>698</v>
      </c>
      <c r="K50" s="38"/>
      <c r="L50" s="36" t="s">
        <v>695</v>
      </c>
      <c r="M50" s="36" t="s">
        <v>695</v>
      </c>
      <c r="N50" s="38"/>
      <c r="O50" s="38"/>
      <c r="P50" s="1"/>
      <c r="Q50" s="40"/>
    </row>
    <row r="51" spans="2:17" ht="16.5" x14ac:dyDescent="0.3">
      <c r="B51" s="33">
        <v>47</v>
      </c>
      <c r="C51" s="34" t="s">
        <v>694</v>
      </c>
      <c r="D51" s="35" t="s">
        <v>711</v>
      </c>
      <c r="E51" s="34" t="s">
        <v>696</v>
      </c>
      <c r="F51" s="36" t="s">
        <v>758</v>
      </c>
      <c r="G51" s="36" t="s">
        <v>1165</v>
      </c>
      <c r="H51" s="37">
        <v>935</v>
      </c>
      <c r="I51" s="36" t="s">
        <v>697</v>
      </c>
      <c r="J51" s="34" t="s">
        <v>698</v>
      </c>
      <c r="K51" s="38"/>
      <c r="L51" s="36" t="s">
        <v>695</v>
      </c>
      <c r="M51" s="36" t="s">
        <v>695</v>
      </c>
      <c r="N51" s="38"/>
      <c r="O51" s="38"/>
      <c r="P51" s="1"/>
      <c r="Q51" s="40"/>
    </row>
    <row r="52" spans="2:17" ht="16.5" x14ac:dyDescent="0.3">
      <c r="B52" s="33">
        <v>48</v>
      </c>
      <c r="C52" s="34" t="s">
        <v>694</v>
      </c>
      <c r="D52" s="35" t="s">
        <v>711</v>
      </c>
      <c r="E52" s="34" t="s">
        <v>696</v>
      </c>
      <c r="F52" s="36" t="s">
        <v>759</v>
      </c>
      <c r="G52" s="36" t="s">
        <v>1166</v>
      </c>
      <c r="H52" s="37">
        <v>742</v>
      </c>
      <c r="I52" s="36" t="s">
        <v>697</v>
      </c>
      <c r="J52" s="34" t="s">
        <v>698</v>
      </c>
      <c r="K52" s="38"/>
      <c r="L52" s="36" t="s">
        <v>695</v>
      </c>
      <c r="M52" s="36" t="s">
        <v>695</v>
      </c>
      <c r="N52" s="38"/>
      <c r="O52" s="38"/>
      <c r="P52" s="1"/>
      <c r="Q52" s="40"/>
    </row>
    <row r="53" spans="2:17" ht="16.5" x14ac:dyDescent="0.3">
      <c r="B53" s="33">
        <v>49</v>
      </c>
      <c r="C53" s="34" t="s">
        <v>694</v>
      </c>
      <c r="D53" s="35" t="s">
        <v>711</v>
      </c>
      <c r="E53" s="34" t="s">
        <v>696</v>
      </c>
      <c r="F53" s="36" t="s">
        <v>760</v>
      </c>
      <c r="G53" s="36" t="s">
        <v>1167</v>
      </c>
      <c r="H53" s="37">
        <v>36539</v>
      </c>
      <c r="I53" s="36" t="s">
        <v>697</v>
      </c>
      <c r="J53" s="34" t="s">
        <v>698</v>
      </c>
      <c r="K53" s="38"/>
      <c r="L53" s="36" t="s">
        <v>695</v>
      </c>
      <c r="M53" s="36" t="s">
        <v>695</v>
      </c>
      <c r="N53" s="38"/>
      <c r="O53" s="38"/>
      <c r="P53" s="1"/>
      <c r="Q53" s="40"/>
    </row>
    <row r="54" spans="2:17" ht="16.5" x14ac:dyDescent="0.3">
      <c r="B54" s="33">
        <v>50</v>
      </c>
      <c r="C54" s="34" t="s">
        <v>694</v>
      </c>
      <c r="D54" s="35" t="s">
        <v>711</v>
      </c>
      <c r="E54" s="34" t="s">
        <v>696</v>
      </c>
      <c r="F54" s="36" t="s">
        <v>761</v>
      </c>
      <c r="G54" s="36" t="s">
        <v>1168</v>
      </c>
      <c r="H54" s="37">
        <v>2350</v>
      </c>
      <c r="I54" s="36" t="s">
        <v>697</v>
      </c>
      <c r="J54" s="34" t="s">
        <v>698</v>
      </c>
      <c r="K54" s="38"/>
      <c r="L54" s="36" t="s">
        <v>695</v>
      </c>
      <c r="M54" s="36" t="s">
        <v>695</v>
      </c>
      <c r="N54" s="38"/>
      <c r="O54" s="38"/>
      <c r="P54" s="1"/>
      <c r="Q54" s="40"/>
    </row>
    <row r="55" spans="2:17" ht="16.5" x14ac:dyDescent="0.3">
      <c r="B55" s="33">
        <v>51</v>
      </c>
      <c r="C55" s="34" t="s">
        <v>694</v>
      </c>
      <c r="D55" s="35" t="s">
        <v>711</v>
      </c>
      <c r="E55" s="34" t="s">
        <v>696</v>
      </c>
      <c r="F55" s="36" t="s">
        <v>762</v>
      </c>
      <c r="G55" s="36" t="s">
        <v>1169</v>
      </c>
      <c r="H55" s="37">
        <v>19552</v>
      </c>
      <c r="I55" s="36" t="s">
        <v>697</v>
      </c>
      <c r="J55" s="34" t="s">
        <v>698</v>
      </c>
      <c r="K55" s="38"/>
      <c r="L55" s="36" t="s">
        <v>695</v>
      </c>
      <c r="M55" s="36" t="s">
        <v>695</v>
      </c>
      <c r="N55" s="38"/>
      <c r="O55" s="38"/>
      <c r="P55" s="1"/>
      <c r="Q55" s="40"/>
    </row>
    <row r="56" spans="2:17" ht="16.5" x14ac:dyDescent="0.3">
      <c r="B56" s="33">
        <v>52</v>
      </c>
      <c r="C56" s="34" t="s">
        <v>694</v>
      </c>
      <c r="D56" s="35" t="s">
        <v>711</v>
      </c>
      <c r="E56" s="34" t="s">
        <v>696</v>
      </c>
      <c r="F56" s="36" t="s">
        <v>763</v>
      </c>
      <c r="G56" s="36" t="s">
        <v>1170</v>
      </c>
      <c r="H56" s="37">
        <v>3100</v>
      </c>
      <c r="I56" s="36" t="s">
        <v>697</v>
      </c>
      <c r="J56" s="34" t="s">
        <v>698</v>
      </c>
      <c r="K56" s="38"/>
      <c r="L56" s="36" t="s">
        <v>695</v>
      </c>
      <c r="M56" s="36" t="s">
        <v>695</v>
      </c>
      <c r="N56" s="38"/>
      <c r="O56" s="38"/>
      <c r="P56" s="1"/>
      <c r="Q56" s="40"/>
    </row>
    <row r="57" spans="2:17" ht="16.5" x14ac:dyDescent="0.3">
      <c r="B57" s="33">
        <v>53</v>
      </c>
      <c r="C57" s="34" t="s">
        <v>694</v>
      </c>
      <c r="D57" s="35" t="s">
        <v>711</v>
      </c>
      <c r="E57" s="34" t="s">
        <v>696</v>
      </c>
      <c r="F57" s="36" t="s">
        <v>764</v>
      </c>
      <c r="G57" s="36" t="s">
        <v>1171</v>
      </c>
      <c r="H57" s="37">
        <v>4762</v>
      </c>
      <c r="I57" s="36" t="s">
        <v>697</v>
      </c>
      <c r="J57" s="34" t="s">
        <v>698</v>
      </c>
      <c r="K57" s="38"/>
      <c r="L57" s="36" t="s">
        <v>695</v>
      </c>
      <c r="M57" s="36" t="s">
        <v>695</v>
      </c>
      <c r="N57" s="38"/>
      <c r="O57" s="38"/>
      <c r="P57" s="1"/>
      <c r="Q57" s="40"/>
    </row>
    <row r="58" spans="2:17" ht="16.5" x14ac:dyDescent="0.3">
      <c r="B58" s="33">
        <v>54</v>
      </c>
      <c r="C58" s="34" t="s">
        <v>694</v>
      </c>
      <c r="D58" s="35" t="s">
        <v>711</v>
      </c>
      <c r="E58" s="34" t="s">
        <v>696</v>
      </c>
      <c r="F58" s="36" t="s">
        <v>765</v>
      </c>
      <c r="G58" s="36" t="s">
        <v>1172</v>
      </c>
      <c r="H58" s="37">
        <v>5726</v>
      </c>
      <c r="I58" s="36" t="s">
        <v>697</v>
      </c>
      <c r="J58" s="34" t="s">
        <v>698</v>
      </c>
      <c r="K58" s="38"/>
      <c r="L58" s="36" t="s">
        <v>695</v>
      </c>
      <c r="M58" s="36" t="s">
        <v>695</v>
      </c>
      <c r="N58" s="38"/>
      <c r="O58" s="38"/>
      <c r="P58" s="1"/>
      <c r="Q58" s="40"/>
    </row>
    <row r="59" spans="2:17" ht="16.5" x14ac:dyDescent="0.3">
      <c r="B59" s="33">
        <v>55</v>
      </c>
      <c r="C59" s="34" t="s">
        <v>694</v>
      </c>
      <c r="D59" s="35" t="s">
        <v>711</v>
      </c>
      <c r="E59" s="34" t="s">
        <v>696</v>
      </c>
      <c r="F59" s="36" t="s">
        <v>766</v>
      </c>
      <c r="G59" s="36" t="s">
        <v>1173</v>
      </c>
      <c r="H59" s="37">
        <v>4100</v>
      </c>
      <c r="I59" s="36" t="s">
        <v>697</v>
      </c>
      <c r="J59" s="34" t="s">
        <v>698</v>
      </c>
      <c r="K59" s="38"/>
      <c r="L59" s="36" t="s">
        <v>695</v>
      </c>
      <c r="M59" s="36" t="s">
        <v>695</v>
      </c>
      <c r="N59" s="38"/>
      <c r="O59" s="38"/>
      <c r="P59" s="1"/>
      <c r="Q59" s="40"/>
    </row>
    <row r="60" spans="2:17" ht="16.5" x14ac:dyDescent="0.3">
      <c r="B60" s="33">
        <v>56</v>
      </c>
      <c r="C60" s="34" t="s">
        <v>694</v>
      </c>
      <c r="D60" s="35" t="s">
        <v>711</v>
      </c>
      <c r="E60" s="34" t="s">
        <v>696</v>
      </c>
      <c r="F60" s="36" t="s">
        <v>767</v>
      </c>
      <c r="G60" s="36" t="s">
        <v>1174</v>
      </c>
      <c r="H60" s="37">
        <v>1037</v>
      </c>
      <c r="I60" s="36" t="s">
        <v>697</v>
      </c>
      <c r="J60" s="34" t="s">
        <v>698</v>
      </c>
      <c r="K60" s="38"/>
      <c r="L60" s="36" t="s">
        <v>695</v>
      </c>
      <c r="M60" s="36" t="s">
        <v>695</v>
      </c>
      <c r="N60" s="38"/>
      <c r="O60" s="38"/>
      <c r="P60" s="1"/>
      <c r="Q60" s="40"/>
    </row>
    <row r="61" spans="2:17" ht="16.5" x14ac:dyDescent="0.3">
      <c r="B61" s="33">
        <v>57</v>
      </c>
      <c r="C61" s="34" t="s">
        <v>694</v>
      </c>
      <c r="D61" s="35" t="s">
        <v>711</v>
      </c>
      <c r="E61" s="34" t="s">
        <v>696</v>
      </c>
      <c r="F61" s="36" t="s">
        <v>768</v>
      </c>
      <c r="G61" s="36" t="s">
        <v>1175</v>
      </c>
      <c r="H61" s="37">
        <v>3477</v>
      </c>
      <c r="I61" s="36" t="s">
        <v>697</v>
      </c>
      <c r="J61" s="34" t="s">
        <v>698</v>
      </c>
      <c r="K61" s="38"/>
      <c r="L61" s="36" t="s">
        <v>695</v>
      </c>
      <c r="M61" s="36" t="s">
        <v>695</v>
      </c>
      <c r="N61" s="38"/>
      <c r="O61" s="38"/>
      <c r="P61" s="1"/>
      <c r="Q61" s="40"/>
    </row>
    <row r="62" spans="2:17" ht="16.5" x14ac:dyDescent="0.3">
      <c r="B62" s="33">
        <v>58</v>
      </c>
      <c r="C62" s="34" t="s">
        <v>694</v>
      </c>
      <c r="D62" s="35" t="s">
        <v>711</v>
      </c>
      <c r="E62" s="34" t="s">
        <v>696</v>
      </c>
      <c r="F62" s="36" t="s">
        <v>769</v>
      </c>
      <c r="G62" s="36" t="s">
        <v>1176</v>
      </c>
      <c r="H62" s="37">
        <v>1503</v>
      </c>
      <c r="I62" s="36" t="s">
        <v>697</v>
      </c>
      <c r="J62" s="34" t="s">
        <v>698</v>
      </c>
      <c r="K62" s="38"/>
      <c r="L62" s="36" t="s">
        <v>695</v>
      </c>
      <c r="M62" s="36" t="s">
        <v>695</v>
      </c>
      <c r="N62" s="38"/>
      <c r="O62" s="38"/>
      <c r="P62" s="1"/>
      <c r="Q62" s="40"/>
    </row>
    <row r="63" spans="2:17" ht="16.5" x14ac:dyDescent="0.3">
      <c r="B63" s="33">
        <v>59</v>
      </c>
      <c r="C63" s="34" t="s">
        <v>694</v>
      </c>
      <c r="D63" s="35" t="s">
        <v>711</v>
      </c>
      <c r="E63" s="34" t="s">
        <v>696</v>
      </c>
      <c r="F63" s="36" t="s">
        <v>770</v>
      </c>
      <c r="G63" s="36" t="s">
        <v>1177</v>
      </c>
      <c r="H63" s="37">
        <v>1128</v>
      </c>
      <c r="I63" s="36" t="s">
        <v>697</v>
      </c>
      <c r="J63" s="34" t="s">
        <v>698</v>
      </c>
      <c r="K63" s="38"/>
      <c r="L63" s="36" t="s">
        <v>695</v>
      </c>
      <c r="M63" s="36" t="s">
        <v>695</v>
      </c>
      <c r="N63" s="38"/>
      <c r="O63" s="38"/>
      <c r="P63" s="1"/>
      <c r="Q63" s="40"/>
    </row>
    <row r="64" spans="2:17" ht="16.5" x14ac:dyDescent="0.3">
      <c r="B64" s="33">
        <v>60</v>
      </c>
      <c r="C64" s="34" t="s">
        <v>694</v>
      </c>
      <c r="D64" s="35" t="s">
        <v>711</v>
      </c>
      <c r="E64" s="34" t="s">
        <v>696</v>
      </c>
      <c r="F64" s="36" t="s">
        <v>771</v>
      </c>
      <c r="G64" s="36" t="s">
        <v>1178</v>
      </c>
      <c r="H64" s="37">
        <v>2270</v>
      </c>
      <c r="I64" s="36" t="s">
        <v>697</v>
      </c>
      <c r="J64" s="34" t="s">
        <v>698</v>
      </c>
      <c r="K64" s="38"/>
      <c r="L64" s="36" t="s">
        <v>695</v>
      </c>
      <c r="M64" s="36" t="s">
        <v>695</v>
      </c>
      <c r="N64" s="38"/>
      <c r="O64" s="38"/>
      <c r="P64" s="1"/>
      <c r="Q64" s="40"/>
    </row>
    <row r="65" spans="2:17" ht="16.5" x14ac:dyDescent="0.3">
      <c r="B65" s="33">
        <v>61</v>
      </c>
      <c r="C65" s="34" t="s">
        <v>694</v>
      </c>
      <c r="D65" s="35" t="s">
        <v>711</v>
      </c>
      <c r="E65" s="34" t="s">
        <v>696</v>
      </c>
      <c r="F65" s="36" t="s">
        <v>772</v>
      </c>
      <c r="G65" s="36" t="s">
        <v>1179</v>
      </c>
      <c r="H65" s="37">
        <v>1550</v>
      </c>
      <c r="I65" s="36" t="s">
        <v>697</v>
      </c>
      <c r="J65" s="34" t="s">
        <v>698</v>
      </c>
      <c r="K65" s="38"/>
      <c r="L65" s="36" t="s">
        <v>695</v>
      </c>
      <c r="M65" s="36" t="s">
        <v>695</v>
      </c>
      <c r="N65" s="38"/>
      <c r="O65" s="38"/>
      <c r="P65" s="1"/>
      <c r="Q65" s="40"/>
    </row>
    <row r="66" spans="2:17" ht="16.5" x14ac:dyDescent="0.3">
      <c r="B66" s="33">
        <v>62</v>
      </c>
      <c r="C66" s="34" t="s">
        <v>694</v>
      </c>
      <c r="D66" s="35" t="s">
        <v>711</v>
      </c>
      <c r="E66" s="34" t="s">
        <v>696</v>
      </c>
      <c r="F66" s="36" t="s">
        <v>773</v>
      </c>
      <c r="G66" s="36" t="s">
        <v>1180</v>
      </c>
      <c r="H66" s="37">
        <v>1533</v>
      </c>
      <c r="I66" s="36" t="s">
        <v>697</v>
      </c>
      <c r="J66" s="34" t="s">
        <v>698</v>
      </c>
      <c r="K66" s="38"/>
      <c r="L66" s="36" t="s">
        <v>695</v>
      </c>
      <c r="M66" s="36" t="s">
        <v>695</v>
      </c>
      <c r="N66" s="38"/>
      <c r="O66" s="38"/>
      <c r="P66" s="1"/>
      <c r="Q66" s="40"/>
    </row>
    <row r="67" spans="2:17" ht="16.5" x14ac:dyDescent="0.3">
      <c r="B67" s="33">
        <v>63</v>
      </c>
      <c r="C67" s="34" t="s">
        <v>694</v>
      </c>
      <c r="D67" s="35" t="s">
        <v>711</v>
      </c>
      <c r="E67" s="34" t="s">
        <v>696</v>
      </c>
      <c r="F67" s="36" t="s">
        <v>774</v>
      </c>
      <c r="G67" s="36" t="s">
        <v>1181</v>
      </c>
      <c r="H67" s="37">
        <v>2206</v>
      </c>
      <c r="I67" s="36" t="s">
        <v>697</v>
      </c>
      <c r="J67" s="34" t="s">
        <v>698</v>
      </c>
      <c r="K67" s="38"/>
      <c r="L67" s="36" t="s">
        <v>695</v>
      </c>
      <c r="M67" s="36" t="s">
        <v>695</v>
      </c>
      <c r="N67" s="38"/>
      <c r="O67" s="38"/>
      <c r="P67" s="1"/>
      <c r="Q67" s="40"/>
    </row>
    <row r="68" spans="2:17" ht="16.5" x14ac:dyDescent="0.3">
      <c r="B68" s="33">
        <v>64</v>
      </c>
      <c r="C68" s="34" t="s">
        <v>694</v>
      </c>
      <c r="D68" s="35" t="s">
        <v>711</v>
      </c>
      <c r="E68" s="34" t="s">
        <v>696</v>
      </c>
      <c r="F68" s="36" t="s">
        <v>775</v>
      </c>
      <c r="G68" s="36" t="s">
        <v>1182</v>
      </c>
      <c r="H68" s="37">
        <v>1289</v>
      </c>
      <c r="I68" s="36" t="s">
        <v>697</v>
      </c>
      <c r="J68" s="34" t="s">
        <v>698</v>
      </c>
      <c r="K68" s="38"/>
      <c r="L68" s="36" t="s">
        <v>695</v>
      </c>
      <c r="M68" s="36" t="s">
        <v>695</v>
      </c>
      <c r="N68" s="38"/>
      <c r="O68" s="38"/>
      <c r="P68" s="1"/>
      <c r="Q68" s="40"/>
    </row>
    <row r="69" spans="2:17" ht="16.5" x14ac:dyDescent="0.3">
      <c r="B69" s="33">
        <v>65</v>
      </c>
      <c r="C69" s="34" t="s">
        <v>694</v>
      </c>
      <c r="D69" s="35" t="s">
        <v>711</v>
      </c>
      <c r="E69" s="34" t="s">
        <v>696</v>
      </c>
      <c r="F69" s="36" t="s">
        <v>776</v>
      </c>
      <c r="G69" s="36" t="s">
        <v>1183</v>
      </c>
      <c r="H69" s="37">
        <v>1077</v>
      </c>
      <c r="I69" s="36" t="s">
        <v>697</v>
      </c>
      <c r="J69" s="34" t="s">
        <v>698</v>
      </c>
      <c r="K69" s="38"/>
      <c r="L69" s="36" t="s">
        <v>695</v>
      </c>
      <c r="M69" s="36" t="s">
        <v>695</v>
      </c>
      <c r="N69" s="38"/>
      <c r="O69" s="38"/>
      <c r="P69" s="1"/>
      <c r="Q69" s="40"/>
    </row>
    <row r="70" spans="2:17" ht="16.5" x14ac:dyDescent="0.3">
      <c r="B70" s="33">
        <v>66</v>
      </c>
      <c r="C70" s="34" t="s">
        <v>694</v>
      </c>
      <c r="D70" s="35" t="s">
        <v>711</v>
      </c>
      <c r="E70" s="34" t="s">
        <v>696</v>
      </c>
      <c r="F70" s="36" t="s">
        <v>777</v>
      </c>
      <c r="G70" s="36" t="s">
        <v>1184</v>
      </c>
      <c r="H70" s="37">
        <v>3853</v>
      </c>
      <c r="I70" s="36" t="s">
        <v>697</v>
      </c>
      <c r="J70" s="34" t="s">
        <v>698</v>
      </c>
      <c r="K70" s="38"/>
      <c r="L70" s="36" t="s">
        <v>695</v>
      </c>
      <c r="M70" s="36" t="s">
        <v>695</v>
      </c>
      <c r="N70" s="38"/>
      <c r="O70" s="38"/>
      <c r="P70" s="1"/>
      <c r="Q70" s="40"/>
    </row>
    <row r="71" spans="2:17" ht="16.5" x14ac:dyDescent="0.3">
      <c r="B71" s="33">
        <v>67</v>
      </c>
      <c r="C71" s="34" t="s">
        <v>694</v>
      </c>
      <c r="D71" s="35" t="s">
        <v>711</v>
      </c>
      <c r="E71" s="34" t="s">
        <v>696</v>
      </c>
      <c r="F71" s="36" t="s">
        <v>778</v>
      </c>
      <c r="G71" s="36" t="s">
        <v>1185</v>
      </c>
      <c r="H71" s="37">
        <v>1507</v>
      </c>
      <c r="I71" s="36" t="s">
        <v>697</v>
      </c>
      <c r="J71" s="34" t="s">
        <v>698</v>
      </c>
      <c r="K71" s="38"/>
      <c r="L71" s="36" t="s">
        <v>695</v>
      </c>
      <c r="M71" s="36" t="s">
        <v>695</v>
      </c>
      <c r="N71" s="38"/>
      <c r="O71" s="38"/>
      <c r="P71" s="1"/>
      <c r="Q71" s="40"/>
    </row>
    <row r="72" spans="2:17" ht="16.5" x14ac:dyDescent="0.3">
      <c r="B72" s="33">
        <v>68</v>
      </c>
      <c r="C72" s="34" t="s">
        <v>694</v>
      </c>
      <c r="D72" s="35" t="s">
        <v>711</v>
      </c>
      <c r="E72" s="34" t="s">
        <v>696</v>
      </c>
      <c r="F72" s="36" t="s">
        <v>779</v>
      </c>
      <c r="G72" s="36" t="s">
        <v>1186</v>
      </c>
      <c r="H72" s="37">
        <v>3020</v>
      </c>
      <c r="I72" s="36" t="s">
        <v>697</v>
      </c>
      <c r="J72" s="34" t="s">
        <v>698</v>
      </c>
      <c r="K72" s="38"/>
      <c r="L72" s="36" t="s">
        <v>695</v>
      </c>
      <c r="M72" s="36" t="s">
        <v>695</v>
      </c>
      <c r="N72" s="38"/>
      <c r="O72" s="38"/>
      <c r="P72" s="1"/>
      <c r="Q72" s="40"/>
    </row>
    <row r="73" spans="2:17" ht="16.5" x14ac:dyDescent="0.3">
      <c r="B73" s="33">
        <v>69</v>
      </c>
      <c r="C73" s="34" t="s">
        <v>694</v>
      </c>
      <c r="D73" s="35" t="s">
        <v>711</v>
      </c>
      <c r="E73" s="34" t="s">
        <v>696</v>
      </c>
      <c r="F73" s="36" t="s">
        <v>780</v>
      </c>
      <c r="G73" s="36" t="s">
        <v>1187</v>
      </c>
      <c r="H73" s="37">
        <v>1724</v>
      </c>
      <c r="I73" s="36" t="s">
        <v>697</v>
      </c>
      <c r="J73" s="34" t="s">
        <v>698</v>
      </c>
      <c r="K73" s="38"/>
      <c r="L73" s="36" t="s">
        <v>695</v>
      </c>
      <c r="M73" s="36" t="s">
        <v>695</v>
      </c>
      <c r="N73" s="38"/>
      <c r="O73" s="38"/>
      <c r="P73" s="1"/>
      <c r="Q73" s="40"/>
    </row>
    <row r="74" spans="2:17" ht="16.5" x14ac:dyDescent="0.3">
      <c r="B74" s="33">
        <v>70</v>
      </c>
      <c r="C74" s="34" t="s">
        <v>694</v>
      </c>
      <c r="D74" s="35" t="s">
        <v>711</v>
      </c>
      <c r="E74" s="34" t="s">
        <v>696</v>
      </c>
      <c r="F74" s="36" t="s">
        <v>781</v>
      </c>
      <c r="G74" s="36" t="s">
        <v>1188</v>
      </c>
      <c r="H74" s="37">
        <v>2036</v>
      </c>
      <c r="I74" s="36" t="s">
        <v>697</v>
      </c>
      <c r="J74" s="34" t="s">
        <v>698</v>
      </c>
      <c r="K74" s="38"/>
      <c r="L74" s="36" t="s">
        <v>695</v>
      </c>
      <c r="M74" s="36" t="s">
        <v>695</v>
      </c>
      <c r="N74" s="38"/>
      <c r="O74" s="38"/>
      <c r="P74" s="1"/>
      <c r="Q74" s="40"/>
    </row>
    <row r="75" spans="2:17" ht="16.5" x14ac:dyDescent="0.3">
      <c r="B75" s="33">
        <v>71</v>
      </c>
      <c r="C75" s="34" t="s">
        <v>694</v>
      </c>
      <c r="D75" s="35" t="s">
        <v>711</v>
      </c>
      <c r="E75" s="34" t="s">
        <v>696</v>
      </c>
      <c r="F75" s="36" t="s">
        <v>782</v>
      </c>
      <c r="G75" s="36" t="s">
        <v>1189</v>
      </c>
      <c r="H75" s="37">
        <v>2200</v>
      </c>
      <c r="I75" s="36" t="s">
        <v>697</v>
      </c>
      <c r="J75" s="34" t="s">
        <v>698</v>
      </c>
      <c r="K75" s="38"/>
      <c r="L75" s="36" t="s">
        <v>695</v>
      </c>
      <c r="M75" s="36" t="s">
        <v>695</v>
      </c>
      <c r="N75" s="38"/>
      <c r="O75" s="38"/>
      <c r="P75" s="1"/>
      <c r="Q75" s="40"/>
    </row>
    <row r="76" spans="2:17" ht="16.5" x14ac:dyDescent="0.3">
      <c r="B76" s="33">
        <v>72</v>
      </c>
      <c r="C76" s="34" t="s">
        <v>694</v>
      </c>
      <c r="D76" s="35" t="s">
        <v>711</v>
      </c>
      <c r="E76" s="34" t="s">
        <v>696</v>
      </c>
      <c r="F76" s="36" t="s">
        <v>783</v>
      </c>
      <c r="G76" s="36" t="s">
        <v>1190</v>
      </c>
      <c r="H76" s="37">
        <v>1522</v>
      </c>
      <c r="I76" s="36" t="s">
        <v>697</v>
      </c>
      <c r="J76" s="34" t="s">
        <v>698</v>
      </c>
      <c r="K76" s="38"/>
      <c r="L76" s="36" t="s">
        <v>695</v>
      </c>
      <c r="M76" s="36" t="s">
        <v>695</v>
      </c>
      <c r="N76" s="38"/>
      <c r="O76" s="38"/>
      <c r="P76" s="1"/>
      <c r="Q76" s="40"/>
    </row>
    <row r="77" spans="2:17" ht="16.5" x14ac:dyDescent="0.3">
      <c r="B77" s="33">
        <v>73</v>
      </c>
      <c r="C77" s="34" t="s">
        <v>694</v>
      </c>
      <c r="D77" s="35" t="s">
        <v>711</v>
      </c>
      <c r="E77" s="34" t="s">
        <v>696</v>
      </c>
      <c r="F77" s="36" t="s">
        <v>784</v>
      </c>
      <c r="G77" s="36" t="s">
        <v>1191</v>
      </c>
      <c r="H77" s="37">
        <v>4000</v>
      </c>
      <c r="I77" s="36" t="s">
        <v>697</v>
      </c>
      <c r="J77" s="34" t="s">
        <v>698</v>
      </c>
      <c r="K77" s="38"/>
      <c r="L77" s="36" t="s">
        <v>695</v>
      </c>
      <c r="M77" s="36" t="s">
        <v>695</v>
      </c>
      <c r="N77" s="38"/>
      <c r="O77" s="38"/>
      <c r="P77" s="1"/>
      <c r="Q77" s="40"/>
    </row>
    <row r="78" spans="2:17" ht="16.5" x14ac:dyDescent="0.3">
      <c r="B78" s="33">
        <v>74</v>
      </c>
      <c r="C78" s="34" t="s">
        <v>694</v>
      </c>
      <c r="D78" s="35" t="s">
        <v>711</v>
      </c>
      <c r="E78" s="34" t="s">
        <v>696</v>
      </c>
      <c r="F78" s="36" t="s">
        <v>785</v>
      </c>
      <c r="G78" s="36" t="s">
        <v>702</v>
      </c>
      <c r="H78" s="37">
        <v>2000</v>
      </c>
      <c r="I78" s="36" t="s">
        <v>697</v>
      </c>
      <c r="J78" s="34" t="s">
        <v>698</v>
      </c>
      <c r="K78" s="38"/>
      <c r="L78" s="36" t="s">
        <v>695</v>
      </c>
      <c r="M78" s="36" t="s">
        <v>695</v>
      </c>
      <c r="N78" s="38"/>
      <c r="O78" s="38"/>
      <c r="P78" s="1"/>
      <c r="Q78" s="40"/>
    </row>
    <row r="79" spans="2:17" ht="16.5" x14ac:dyDescent="0.3">
      <c r="B79" s="33">
        <v>75</v>
      </c>
      <c r="C79" s="34" t="s">
        <v>694</v>
      </c>
      <c r="D79" s="35" t="s">
        <v>711</v>
      </c>
      <c r="E79" s="34" t="s">
        <v>696</v>
      </c>
      <c r="F79" s="36" t="s">
        <v>786</v>
      </c>
      <c r="G79" s="36" t="s">
        <v>1192</v>
      </c>
      <c r="H79" s="37">
        <v>808</v>
      </c>
      <c r="I79" s="36" t="s">
        <v>697</v>
      </c>
      <c r="J79" s="34" t="s">
        <v>698</v>
      </c>
      <c r="K79" s="38"/>
      <c r="L79" s="36" t="s">
        <v>695</v>
      </c>
      <c r="M79" s="36" t="s">
        <v>695</v>
      </c>
      <c r="N79" s="38"/>
      <c r="O79" s="38"/>
      <c r="P79" s="1"/>
      <c r="Q79" s="40"/>
    </row>
    <row r="80" spans="2:17" ht="16.5" x14ac:dyDescent="0.3">
      <c r="B80" s="33">
        <v>76</v>
      </c>
      <c r="C80" s="34" t="s">
        <v>694</v>
      </c>
      <c r="D80" s="35" t="s">
        <v>711</v>
      </c>
      <c r="E80" s="34" t="s">
        <v>696</v>
      </c>
      <c r="F80" s="36" t="s">
        <v>787</v>
      </c>
      <c r="G80" s="36" t="s">
        <v>1193</v>
      </c>
      <c r="H80" s="37">
        <v>5311</v>
      </c>
      <c r="I80" s="36" t="s">
        <v>697</v>
      </c>
      <c r="J80" s="34" t="s">
        <v>698</v>
      </c>
      <c r="K80" s="38"/>
      <c r="L80" s="36" t="s">
        <v>695</v>
      </c>
      <c r="M80" s="36" t="s">
        <v>695</v>
      </c>
      <c r="N80" s="38"/>
      <c r="O80" s="38"/>
      <c r="P80" s="1"/>
      <c r="Q80" s="40"/>
    </row>
    <row r="81" spans="2:17" ht="16.5" x14ac:dyDescent="0.3">
      <c r="B81" s="33">
        <v>77</v>
      </c>
      <c r="C81" s="34" t="s">
        <v>694</v>
      </c>
      <c r="D81" s="35" t="s">
        <v>711</v>
      </c>
      <c r="E81" s="34" t="s">
        <v>696</v>
      </c>
      <c r="F81" s="36" t="s">
        <v>788</v>
      </c>
      <c r="G81" s="36" t="s">
        <v>1194</v>
      </c>
      <c r="H81" s="37">
        <v>1030</v>
      </c>
      <c r="I81" s="36" t="s">
        <v>697</v>
      </c>
      <c r="J81" s="34" t="s">
        <v>698</v>
      </c>
      <c r="K81" s="38"/>
      <c r="L81" s="36" t="s">
        <v>695</v>
      </c>
      <c r="M81" s="36" t="s">
        <v>695</v>
      </c>
      <c r="N81" s="38"/>
      <c r="O81" s="38"/>
      <c r="P81" s="1"/>
      <c r="Q81" s="40"/>
    </row>
    <row r="82" spans="2:17" ht="16.5" x14ac:dyDescent="0.3">
      <c r="B82" s="33">
        <v>78</v>
      </c>
      <c r="C82" s="34" t="s">
        <v>694</v>
      </c>
      <c r="D82" s="35" t="s">
        <v>711</v>
      </c>
      <c r="E82" s="34" t="s">
        <v>696</v>
      </c>
      <c r="F82" s="36" t="s">
        <v>789</v>
      </c>
      <c r="G82" s="36" t="s">
        <v>1195</v>
      </c>
      <c r="H82" s="37">
        <v>1530</v>
      </c>
      <c r="I82" s="36" t="s">
        <v>697</v>
      </c>
      <c r="J82" s="34" t="s">
        <v>698</v>
      </c>
      <c r="K82" s="38"/>
      <c r="L82" s="36" t="s">
        <v>695</v>
      </c>
      <c r="M82" s="36" t="s">
        <v>695</v>
      </c>
      <c r="N82" s="38"/>
      <c r="O82" s="38"/>
      <c r="P82" s="1"/>
      <c r="Q82" s="40"/>
    </row>
    <row r="83" spans="2:17" ht="16.5" x14ac:dyDescent="0.3">
      <c r="B83" s="33">
        <v>79</v>
      </c>
      <c r="C83" s="34" t="s">
        <v>694</v>
      </c>
      <c r="D83" s="35" t="s">
        <v>711</v>
      </c>
      <c r="E83" s="34" t="s">
        <v>696</v>
      </c>
      <c r="F83" s="36" t="s">
        <v>790</v>
      </c>
      <c r="G83" s="36" t="s">
        <v>1196</v>
      </c>
      <c r="H83" s="37">
        <v>3330</v>
      </c>
      <c r="I83" s="36" t="s">
        <v>697</v>
      </c>
      <c r="J83" s="34" t="s">
        <v>698</v>
      </c>
      <c r="K83" s="38"/>
      <c r="L83" s="36" t="s">
        <v>695</v>
      </c>
      <c r="M83" s="36" t="s">
        <v>695</v>
      </c>
      <c r="N83" s="38"/>
      <c r="O83" s="38"/>
      <c r="P83" s="1"/>
      <c r="Q83" s="40"/>
    </row>
    <row r="84" spans="2:17" ht="16.5" x14ac:dyDescent="0.3">
      <c r="B84" s="33">
        <v>80</v>
      </c>
      <c r="C84" s="34" t="s">
        <v>694</v>
      </c>
      <c r="D84" s="35" t="s">
        <v>711</v>
      </c>
      <c r="E84" s="34" t="s">
        <v>696</v>
      </c>
      <c r="F84" s="36" t="s">
        <v>791</v>
      </c>
      <c r="G84" s="36" t="s">
        <v>1197</v>
      </c>
      <c r="H84" s="37">
        <v>3200</v>
      </c>
      <c r="I84" s="36" t="s">
        <v>697</v>
      </c>
      <c r="J84" s="34" t="s">
        <v>698</v>
      </c>
      <c r="K84" s="38"/>
      <c r="L84" s="36" t="s">
        <v>695</v>
      </c>
      <c r="M84" s="36" t="s">
        <v>695</v>
      </c>
      <c r="N84" s="38"/>
      <c r="O84" s="38"/>
      <c r="P84" s="1"/>
      <c r="Q84" s="40"/>
    </row>
    <row r="85" spans="2:17" ht="16.5" x14ac:dyDescent="0.3">
      <c r="B85" s="33">
        <v>81</v>
      </c>
      <c r="C85" s="34" t="s">
        <v>694</v>
      </c>
      <c r="D85" s="35" t="s">
        <v>711</v>
      </c>
      <c r="E85" s="34" t="s">
        <v>696</v>
      </c>
      <c r="F85" s="36" t="s">
        <v>792</v>
      </c>
      <c r="G85" s="36" t="s">
        <v>1198</v>
      </c>
      <c r="H85" s="37">
        <v>5000</v>
      </c>
      <c r="I85" s="36" t="s">
        <v>697</v>
      </c>
      <c r="J85" s="34" t="s">
        <v>698</v>
      </c>
      <c r="K85" s="38"/>
      <c r="L85" s="36" t="s">
        <v>695</v>
      </c>
      <c r="M85" s="36" t="s">
        <v>695</v>
      </c>
      <c r="N85" s="38"/>
      <c r="O85" s="38"/>
      <c r="P85" s="1"/>
      <c r="Q85" s="40"/>
    </row>
    <row r="86" spans="2:17" ht="16.5" x14ac:dyDescent="0.3">
      <c r="B86" s="33">
        <v>82</v>
      </c>
      <c r="C86" s="34" t="s">
        <v>694</v>
      </c>
      <c r="D86" s="35" t="s">
        <v>711</v>
      </c>
      <c r="E86" s="34" t="s">
        <v>696</v>
      </c>
      <c r="F86" s="36" t="s">
        <v>793</v>
      </c>
      <c r="G86" s="36" t="s">
        <v>1199</v>
      </c>
      <c r="H86" s="37">
        <v>1270</v>
      </c>
      <c r="I86" s="36" t="s">
        <v>697</v>
      </c>
      <c r="J86" s="34" t="s">
        <v>698</v>
      </c>
      <c r="K86" s="38"/>
      <c r="L86" s="36" t="s">
        <v>695</v>
      </c>
      <c r="M86" s="36" t="s">
        <v>695</v>
      </c>
      <c r="N86" s="38"/>
      <c r="O86" s="38"/>
      <c r="P86" s="1"/>
      <c r="Q86" s="40"/>
    </row>
    <row r="87" spans="2:17" ht="16.5" x14ac:dyDescent="0.3">
      <c r="B87" s="33">
        <v>83</v>
      </c>
      <c r="C87" s="34" t="s">
        <v>694</v>
      </c>
      <c r="D87" s="35" t="s">
        <v>711</v>
      </c>
      <c r="E87" s="34" t="s">
        <v>696</v>
      </c>
      <c r="F87" s="36" t="s">
        <v>794</v>
      </c>
      <c r="G87" s="36" t="s">
        <v>1200</v>
      </c>
      <c r="H87" s="37">
        <v>5323</v>
      </c>
      <c r="I87" s="36" t="s">
        <v>697</v>
      </c>
      <c r="J87" s="34" t="s">
        <v>698</v>
      </c>
      <c r="K87" s="38"/>
      <c r="L87" s="36" t="s">
        <v>695</v>
      </c>
      <c r="M87" s="36" t="s">
        <v>695</v>
      </c>
      <c r="N87" s="38"/>
      <c r="O87" s="38"/>
      <c r="P87" s="1"/>
      <c r="Q87" s="40"/>
    </row>
    <row r="88" spans="2:17" ht="16.5" x14ac:dyDescent="0.3">
      <c r="B88" s="33">
        <v>84</v>
      </c>
      <c r="C88" s="34" t="s">
        <v>694</v>
      </c>
      <c r="D88" s="35" t="s">
        <v>711</v>
      </c>
      <c r="E88" s="34" t="s">
        <v>696</v>
      </c>
      <c r="F88" s="36" t="s">
        <v>795</v>
      </c>
      <c r="G88" s="36" t="s">
        <v>1201</v>
      </c>
      <c r="H88" s="37">
        <v>6204</v>
      </c>
      <c r="I88" s="36" t="s">
        <v>697</v>
      </c>
      <c r="J88" s="34" t="s">
        <v>698</v>
      </c>
      <c r="K88" s="38"/>
      <c r="L88" s="36" t="s">
        <v>695</v>
      </c>
      <c r="M88" s="36" t="s">
        <v>695</v>
      </c>
      <c r="N88" s="38"/>
      <c r="O88" s="38"/>
      <c r="P88" s="1"/>
      <c r="Q88" s="40"/>
    </row>
    <row r="89" spans="2:17" ht="16.5" x14ac:dyDescent="0.3">
      <c r="B89" s="33">
        <v>85</v>
      </c>
      <c r="C89" s="34" t="s">
        <v>694</v>
      </c>
      <c r="D89" s="35" t="s">
        <v>711</v>
      </c>
      <c r="E89" s="34" t="s">
        <v>696</v>
      </c>
      <c r="F89" s="36" t="s">
        <v>796</v>
      </c>
      <c r="G89" s="36" t="s">
        <v>1202</v>
      </c>
      <c r="H89" s="37">
        <v>20500</v>
      </c>
      <c r="I89" s="36" t="s">
        <v>697</v>
      </c>
      <c r="J89" s="34" t="s">
        <v>698</v>
      </c>
      <c r="K89" s="38"/>
      <c r="L89" s="36" t="s">
        <v>695</v>
      </c>
      <c r="M89" s="36" t="s">
        <v>695</v>
      </c>
      <c r="N89" s="38"/>
      <c r="O89" s="38"/>
      <c r="P89" s="1"/>
      <c r="Q89" s="40"/>
    </row>
    <row r="90" spans="2:17" ht="16.5" x14ac:dyDescent="0.3">
      <c r="B90" s="33">
        <v>86</v>
      </c>
      <c r="C90" s="34" t="s">
        <v>694</v>
      </c>
      <c r="D90" s="35" t="s">
        <v>711</v>
      </c>
      <c r="E90" s="34" t="s">
        <v>696</v>
      </c>
      <c r="F90" s="36" t="s">
        <v>797</v>
      </c>
      <c r="G90" s="36" t="s">
        <v>1203</v>
      </c>
      <c r="H90" s="37">
        <v>3000</v>
      </c>
      <c r="I90" s="36" t="s">
        <v>697</v>
      </c>
      <c r="J90" s="34" t="s">
        <v>698</v>
      </c>
      <c r="K90" s="38"/>
      <c r="L90" s="36" t="s">
        <v>695</v>
      </c>
      <c r="M90" s="36" t="s">
        <v>695</v>
      </c>
      <c r="N90" s="38"/>
      <c r="O90" s="38"/>
      <c r="P90" s="1"/>
      <c r="Q90" s="40"/>
    </row>
    <row r="91" spans="2:17" ht="16.5" x14ac:dyDescent="0.3">
      <c r="B91" s="33">
        <v>87</v>
      </c>
      <c r="C91" s="34" t="s">
        <v>694</v>
      </c>
      <c r="D91" s="35" t="s">
        <v>711</v>
      </c>
      <c r="E91" s="34" t="s">
        <v>696</v>
      </c>
      <c r="F91" s="36" t="s">
        <v>798</v>
      </c>
      <c r="G91" s="36" t="s">
        <v>1204</v>
      </c>
      <c r="H91" s="37">
        <v>6570</v>
      </c>
      <c r="I91" s="36" t="s">
        <v>697</v>
      </c>
      <c r="J91" s="34" t="s">
        <v>698</v>
      </c>
      <c r="K91" s="38"/>
      <c r="L91" s="36" t="s">
        <v>695</v>
      </c>
      <c r="M91" s="36" t="s">
        <v>695</v>
      </c>
      <c r="N91" s="38"/>
      <c r="O91" s="38"/>
      <c r="P91" s="1"/>
      <c r="Q91" s="40"/>
    </row>
    <row r="92" spans="2:17" ht="16.5" x14ac:dyDescent="0.3">
      <c r="B92" s="33">
        <v>88</v>
      </c>
      <c r="C92" s="34" t="s">
        <v>694</v>
      </c>
      <c r="D92" s="35" t="s">
        <v>711</v>
      </c>
      <c r="E92" s="34" t="s">
        <v>696</v>
      </c>
      <c r="F92" s="36" t="s">
        <v>799</v>
      </c>
      <c r="G92" s="36" t="s">
        <v>1205</v>
      </c>
      <c r="H92" s="37">
        <v>5368</v>
      </c>
      <c r="I92" s="36" t="s">
        <v>697</v>
      </c>
      <c r="J92" s="34" t="s">
        <v>698</v>
      </c>
      <c r="K92" s="38"/>
      <c r="L92" s="36" t="s">
        <v>695</v>
      </c>
      <c r="M92" s="36" t="s">
        <v>695</v>
      </c>
      <c r="N92" s="38"/>
      <c r="O92" s="38"/>
      <c r="P92" s="1"/>
      <c r="Q92" s="40"/>
    </row>
    <row r="93" spans="2:17" ht="16.5" x14ac:dyDescent="0.3">
      <c r="B93" s="33">
        <v>89</v>
      </c>
      <c r="C93" s="34" t="s">
        <v>694</v>
      </c>
      <c r="D93" s="35" t="s">
        <v>711</v>
      </c>
      <c r="E93" s="34" t="s">
        <v>696</v>
      </c>
      <c r="F93" s="36" t="s">
        <v>800</v>
      </c>
      <c r="G93" s="36" t="s">
        <v>1206</v>
      </c>
      <c r="H93" s="37">
        <v>950</v>
      </c>
      <c r="I93" s="36" t="s">
        <v>697</v>
      </c>
      <c r="J93" s="34" t="s">
        <v>698</v>
      </c>
      <c r="K93" s="38"/>
      <c r="L93" s="36" t="s">
        <v>695</v>
      </c>
      <c r="M93" s="36" t="s">
        <v>695</v>
      </c>
      <c r="N93" s="38"/>
      <c r="O93" s="38"/>
      <c r="P93" s="1"/>
      <c r="Q93" s="40"/>
    </row>
    <row r="94" spans="2:17" ht="16.5" x14ac:dyDescent="0.3">
      <c r="B94" s="33">
        <v>90</v>
      </c>
      <c r="C94" s="34" t="s">
        <v>694</v>
      </c>
      <c r="D94" s="35" t="s">
        <v>711</v>
      </c>
      <c r="E94" s="34" t="s">
        <v>696</v>
      </c>
      <c r="F94" s="36" t="s">
        <v>801</v>
      </c>
      <c r="G94" s="36" t="s">
        <v>1207</v>
      </c>
      <c r="H94" s="37">
        <v>2200</v>
      </c>
      <c r="I94" s="36" t="s">
        <v>697</v>
      </c>
      <c r="J94" s="34" t="s">
        <v>698</v>
      </c>
      <c r="K94" s="38"/>
      <c r="L94" s="36" t="s">
        <v>695</v>
      </c>
      <c r="M94" s="36" t="s">
        <v>695</v>
      </c>
      <c r="N94" s="38"/>
      <c r="O94" s="38"/>
      <c r="P94" s="1"/>
      <c r="Q94" s="40"/>
    </row>
    <row r="95" spans="2:17" ht="16.5" x14ac:dyDescent="0.3">
      <c r="B95" s="33">
        <v>91</v>
      </c>
      <c r="C95" s="34" t="s">
        <v>694</v>
      </c>
      <c r="D95" s="35" t="s">
        <v>711</v>
      </c>
      <c r="E95" s="34" t="s">
        <v>696</v>
      </c>
      <c r="F95" s="36" t="s">
        <v>802</v>
      </c>
      <c r="G95" s="36" t="s">
        <v>1208</v>
      </c>
      <c r="H95" s="37">
        <v>1769</v>
      </c>
      <c r="I95" s="36" t="s">
        <v>697</v>
      </c>
      <c r="J95" s="34" t="s">
        <v>698</v>
      </c>
      <c r="K95" s="38"/>
      <c r="L95" s="36" t="s">
        <v>695</v>
      </c>
      <c r="M95" s="36" t="s">
        <v>695</v>
      </c>
      <c r="N95" s="38"/>
      <c r="O95" s="38"/>
      <c r="P95" s="1"/>
      <c r="Q95" s="40"/>
    </row>
    <row r="96" spans="2:17" ht="16.5" x14ac:dyDescent="0.3">
      <c r="B96" s="33">
        <v>92</v>
      </c>
      <c r="C96" s="34" t="s">
        <v>694</v>
      </c>
      <c r="D96" s="35" t="s">
        <v>711</v>
      </c>
      <c r="E96" s="34" t="s">
        <v>696</v>
      </c>
      <c r="F96" s="36" t="s">
        <v>803</v>
      </c>
      <c r="G96" s="36" t="s">
        <v>1209</v>
      </c>
      <c r="H96" s="37">
        <v>8756</v>
      </c>
      <c r="I96" s="36" t="s">
        <v>697</v>
      </c>
      <c r="J96" s="34" t="s">
        <v>698</v>
      </c>
      <c r="K96" s="38"/>
      <c r="L96" s="36" t="s">
        <v>695</v>
      </c>
      <c r="M96" s="36" t="s">
        <v>695</v>
      </c>
      <c r="N96" s="38"/>
      <c r="O96" s="38"/>
      <c r="P96" s="1"/>
      <c r="Q96" s="40"/>
    </row>
    <row r="97" spans="2:17" ht="16.5" x14ac:dyDescent="0.3">
      <c r="B97" s="33">
        <v>93</v>
      </c>
      <c r="C97" s="34" t="s">
        <v>694</v>
      </c>
      <c r="D97" s="35" t="s">
        <v>711</v>
      </c>
      <c r="E97" s="34" t="s">
        <v>696</v>
      </c>
      <c r="F97" s="36" t="s">
        <v>804</v>
      </c>
      <c r="G97" s="36" t="s">
        <v>1210</v>
      </c>
      <c r="H97" s="37">
        <v>3300</v>
      </c>
      <c r="I97" s="36" t="s">
        <v>697</v>
      </c>
      <c r="J97" s="34" t="s">
        <v>698</v>
      </c>
      <c r="K97" s="38"/>
      <c r="L97" s="36" t="s">
        <v>695</v>
      </c>
      <c r="M97" s="36" t="s">
        <v>695</v>
      </c>
      <c r="N97" s="38"/>
      <c r="O97" s="38"/>
      <c r="P97" s="1"/>
      <c r="Q97" s="40"/>
    </row>
    <row r="98" spans="2:17" ht="16.5" x14ac:dyDescent="0.3">
      <c r="B98" s="33">
        <v>94</v>
      </c>
      <c r="C98" s="34" t="s">
        <v>694</v>
      </c>
      <c r="D98" s="35" t="s">
        <v>711</v>
      </c>
      <c r="E98" s="34" t="s">
        <v>696</v>
      </c>
      <c r="F98" s="36" t="s">
        <v>805</v>
      </c>
      <c r="G98" s="36" t="s">
        <v>1211</v>
      </c>
      <c r="H98" s="37">
        <v>2000</v>
      </c>
      <c r="I98" s="36" t="s">
        <v>697</v>
      </c>
      <c r="J98" s="34" t="s">
        <v>698</v>
      </c>
      <c r="K98" s="38"/>
      <c r="L98" s="36" t="s">
        <v>695</v>
      </c>
      <c r="M98" s="36" t="s">
        <v>695</v>
      </c>
      <c r="N98" s="38"/>
      <c r="O98" s="38"/>
      <c r="P98" s="1"/>
      <c r="Q98" s="40"/>
    </row>
    <row r="99" spans="2:17" ht="16.5" x14ac:dyDescent="0.3">
      <c r="B99" s="33">
        <v>95</v>
      </c>
      <c r="C99" s="34" t="s">
        <v>694</v>
      </c>
      <c r="D99" s="35" t="s">
        <v>711</v>
      </c>
      <c r="E99" s="34" t="s">
        <v>696</v>
      </c>
      <c r="F99" s="36" t="s">
        <v>806</v>
      </c>
      <c r="G99" s="36" t="s">
        <v>1212</v>
      </c>
      <c r="H99" s="37">
        <v>5300</v>
      </c>
      <c r="I99" s="36" t="s">
        <v>697</v>
      </c>
      <c r="J99" s="34" t="s">
        <v>698</v>
      </c>
      <c r="K99" s="38"/>
      <c r="L99" s="36" t="s">
        <v>695</v>
      </c>
      <c r="M99" s="36" t="s">
        <v>695</v>
      </c>
      <c r="N99" s="38"/>
      <c r="O99" s="38"/>
      <c r="P99" s="1"/>
      <c r="Q99" s="40"/>
    </row>
    <row r="100" spans="2:17" ht="16.5" x14ac:dyDescent="0.3">
      <c r="B100" s="33">
        <v>96</v>
      </c>
      <c r="C100" s="34" t="s">
        <v>694</v>
      </c>
      <c r="D100" s="35" t="s">
        <v>711</v>
      </c>
      <c r="E100" s="34" t="s">
        <v>696</v>
      </c>
      <c r="F100" s="36" t="s">
        <v>807</v>
      </c>
      <c r="G100" s="36" t="s">
        <v>1213</v>
      </c>
      <c r="H100" s="37">
        <v>6500</v>
      </c>
      <c r="I100" s="36" t="s">
        <v>697</v>
      </c>
      <c r="J100" s="34" t="s">
        <v>698</v>
      </c>
      <c r="K100" s="38"/>
      <c r="L100" s="36" t="s">
        <v>695</v>
      </c>
      <c r="M100" s="36" t="s">
        <v>695</v>
      </c>
      <c r="N100" s="38"/>
      <c r="O100" s="38"/>
      <c r="P100" s="1"/>
      <c r="Q100" s="40"/>
    </row>
    <row r="101" spans="2:17" ht="16.5" x14ac:dyDescent="0.3">
      <c r="B101" s="33">
        <v>97</v>
      </c>
      <c r="C101" s="34" t="s">
        <v>694</v>
      </c>
      <c r="D101" s="35" t="s">
        <v>711</v>
      </c>
      <c r="E101" s="34" t="s">
        <v>696</v>
      </c>
      <c r="F101" s="36" t="s">
        <v>808</v>
      </c>
      <c r="G101" s="36" t="s">
        <v>1214</v>
      </c>
      <c r="H101" s="37">
        <v>4000</v>
      </c>
      <c r="I101" s="36" t="s">
        <v>701</v>
      </c>
      <c r="J101" s="34" t="s">
        <v>698</v>
      </c>
      <c r="K101" s="38"/>
      <c r="L101" s="36" t="s">
        <v>695</v>
      </c>
      <c r="M101" s="36" t="s">
        <v>695</v>
      </c>
      <c r="N101" s="38"/>
      <c r="O101" s="38"/>
      <c r="P101" s="1"/>
      <c r="Q101" s="40"/>
    </row>
    <row r="102" spans="2:17" ht="16.5" x14ac:dyDescent="0.3">
      <c r="B102" s="33">
        <v>98</v>
      </c>
      <c r="C102" s="34" t="s">
        <v>694</v>
      </c>
      <c r="D102" s="35" t="s">
        <v>711</v>
      </c>
      <c r="E102" s="34" t="s">
        <v>696</v>
      </c>
      <c r="F102" s="36" t="s">
        <v>809</v>
      </c>
      <c r="G102" s="36" t="s">
        <v>1215</v>
      </c>
      <c r="H102" s="37">
        <v>1023</v>
      </c>
      <c r="I102" s="36" t="s">
        <v>697</v>
      </c>
      <c r="J102" s="34" t="s">
        <v>698</v>
      </c>
      <c r="K102" s="38"/>
      <c r="L102" s="36" t="s">
        <v>695</v>
      </c>
      <c r="M102" s="36" t="s">
        <v>695</v>
      </c>
      <c r="N102" s="38"/>
      <c r="O102" s="38"/>
      <c r="P102" s="1"/>
      <c r="Q102" s="40"/>
    </row>
    <row r="103" spans="2:17" ht="16.5" x14ac:dyDescent="0.3">
      <c r="B103" s="33">
        <v>99</v>
      </c>
      <c r="C103" s="34" t="s">
        <v>694</v>
      </c>
      <c r="D103" s="35" t="s">
        <v>711</v>
      </c>
      <c r="E103" s="34" t="s">
        <v>696</v>
      </c>
      <c r="F103" s="36" t="s">
        <v>810</v>
      </c>
      <c r="G103" s="36" t="s">
        <v>1216</v>
      </c>
      <c r="H103" s="37">
        <v>15367</v>
      </c>
      <c r="I103" s="36" t="s">
        <v>697</v>
      </c>
      <c r="J103" s="34" t="s">
        <v>698</v>
      </c>
      <c r="K103" s="38"/>
      <c r="L103" s="36" t="s">
        <v>695</v>
      </c>
      <c r="M103" s="36" t="s">
        <v>695</v>
      </c>
      <c r="N103" s="38"/>
      <c r="O103" s="38"/>
      <c r="P103" s="1"/>
      <c r="Q103" s="40"/>
    </row>
    <row r="104" spans="2:17" ht="16.5" x14ac:dyDescent="0.3">
      <c r="B104" s="33">
        <v>100</v>
      </c>
      <c r="C104" s="34" t="s">
        <v>694</v>
      </c>
      <c r="D104" s="35" t="s">
        <v>711</v>
      </c>
      <c r="E104" s="34" t="s">
        <v>696</v>
      </c>
      <c r="F104" s="36" t="s">
        <v>811</v>
      </c>
      <c r="G104" s="36" t="s">
        <v>1217</v>
      </c>
      <c r="H104" s="37">
        <v>8814</v>
      </c>
      <c r="I104" s="36" t="s">
        <v>697</v>
      </c>
      <c r="J104" s="34" t="s">
        <v>698</v>
      </c>
      <c r="K104" s="38"/>
      <c r="L104" s="36" t="s">
        <v>695</v>
      </c>
      <c r="M104" s="36" t="s">
        <v>695</v>
      </c>
      <c r="N104" s="38"/>
      <c r="O104" s="38"/>
      <c r="P104" s="1"/>
      <c r="Q104" s="40"/>
    </row>
    <row r="105" spans="2:17" ht="16.5" x14ac:dyDescent="0.3">
      <c r="B105" s="33">
        <v>101</v>
      </c>
      <c r="C105" s="34" t="s">
        <v>694</v>
      </c>
      <c r="D105" s="35" t="s">
        <v>711</v>
      </c>
      <c r="E105" s="34" t="s">
        <v>696</v>
      </c>
      <c r="F105" s="36" t="s">
        <v>812</v>
      </c>
      <c r="G105" s="36" t="s">
        <v>1218</v>
      </c>
      <c r="H105" s="37">
        <v>5000</v>
      </c>
      <c r="I105" s="36" t="s">
        <v>697</v>
      </c>
      <c r="J105" s="34" t="s">
        <v>698</v>
      </c>
      <c r="K105" s="38"/>
      <c r="L105" s="36" t="s">
        <v>695</v>
      </c>
      <c r="M105" s="36" t="s">
        <v>695</v>
      </c>
      <c r="N105" s="38"/>
      <c r="O105" s="38"/>
      <c r="P105" s="1"/>
      <c r="Q105" s="40"/>
    </row>
    <row r="106" spans="2:17" ht="16.5" x14ac:dyDescent="0.3">
      <c r="B106" s="33">
        <v>102</v>
      </c>
      <c r="C106" s="34" t="s">
        <v>694</v>
      </c>
      <c r="D106" s="35" t="s">
        <v>711</v>
      </c>
      <c r="E106" s="34" t="s">
        <v>696</v>
      </c>
      <c r="F106" s="36" t="s">
        <v>813</v>
      </c>
      <c r="G106" s="36" t="s">
        <v>1219</v>
      </c>
      <c r="H106" s="37">
        <v>5000</v>
      </c>
      <c r="I106" s="36" t="s">
        <v>697</v>
      </c>
      <c r="J106" s="34" t="s">
        <v>698</v>
      </c>
      <c r="K106" s="38"/>
      <c r="L106" s="36" t="s">
        <v>695</v>
      </c>
      <c r="M106" s="36" t="s">
        <v>695</v>
      </c>
      <c r="N106" s="38"/>
      <c r="O106" s="38"/>
      <c r="P106" s="1"/>
      <c r="Q106" s="40"/>
    </row>
    <row r="107" spans="2:17" ht="16.5" x14ac:dyDescent="0.3">
      <c r="B107" s="33">
        <v>103</v>
      </c>
      <c r="C107" s="34" t="s">
        <v>694</v>
      </c>
      <c r="D107" s="35" t="s">
        <v>711</v>
      </c>
      <c r="E107" s="34" t="s">
        <v>696</v>
      </c>
      <c r="F107" s="36" t="s">
        <v>814</v>
      </c>
      <c r="G107" s="36" t="s">
        <v>1220</v>
      </c>
      <c r="H107" s="37">
        <v>2100</v>
      </c>
      <c r="I107" s="36" t="s">
        <v>697</v>
      </c>
      <c r="J107" s="34" t="s">
        <v>698</v>
      </c>
      <c r="K107" s="38"/>
      <c r="L107" s="36" t="s">
        <v>695</v>
      </c>
      <c r="M107" s="36" t="s">
        <v>695</v>
      </c>
      <c r="N107" s="38"/>
      <c r="O107" s="38"/>
      <c r="P107" s="1"/>
      <c r="Q107" s="40"/>
    </row>
    <row r="108" spans="2:17" ht="16.5" x14ac:dyDescent="0.3">
      <c r="B108" s="33">
        <v>104</v>
      </c>
      <c r="C108" s="34" t="s">
        <v>694</v>
      </c>
      <c r="D108" s="35" t="s">
        <v>711</v>
      </c>
      <c r="E108" s="34" t="s">
        <v>696</v>
      </c>
      <c r="F108" s="36" t="s">
        <v>815</v>
      </c>
      <c r="G108" s="36" t="s">
        <v>1221</v>
      </c>
      <c r="H108" s="37">
        <v>2170</v>
      </c>
      <c r="I108" s="36" t="s">
        <v>697</v>
      </c>
      <c r="J108" s="34" t="s">
        <v>698</v>
      </c>
      <c r="K108" s="38"/>
      <c r="L108" s="36" t="s">
        <v>695</v>
      </c>
      <c r="M108" s="36" t="s">
        <v>695</v>
      </c>
      <c r="N108" s="38"/>
      <c r="O108" s="38"/>
      <c r="P108" s="1"/>
      <c r="Q108" s="40"/>
    </row>
    <row r="109" spans="2:17" ht="16.5" x14ac:dyDescent="0.3">
      <c r="B109" s="33">
        <v>105</v>
      </c>
      <c r="C109" s="34" t="s">
        <v>694</v>
      </c>
      <c r="D109" s="35" t="s">
        <v>711</v>
      </c>
      <c r="E109" s="34" t="s">
        <v>696</v>
      </c>
      <c r="F109" s="36" t="s">
        <v>816</v>
      </c>
      <c r="G109" s="36" t="s">
        <v>1222</v>
      </c>
      <c r="H109" s="37">
        <v>2000</v>
      </c>
      <c r="I109" s="36" t="s">
        <v>697</v>
      </c>
      <c r="J109" s="34" t="s">
        <v>698</v>
      </c>
      <c r="K109" s="38"/>
      <c r="L109" s="36" t="s">
        <v>695</v>
      </c>
      <c r="M109" s="36" t="s">
        <v>695</v>
      </c>
      <c r="N109" s="38"/>
      <c r="O109" s="38"/>
      <c r="P109" s="1"/>
      <c r="Q109" s="40"/>
    </row>
    <row r="110" spans="2:17" ht="16.5" x14ac:dyDescent="0.3">
      <c r="B110" s="33">
        <v>106</v>
      </c>
      <c r="C110" s="34" t="s">
        <v>694</v>
      </c>
      <c r="D110" s="35" t="s">
        <v>711</v>
      </c>
      <c r="E110" s="34" t="s">
        <v>696</v>
      </c>
      <c r="F110" s="36" t="s">
        <v>817</v>
      </c>
      <c r="G110" s="36" t="s">
        <v>1223</v>
      </c>
      <c r="H110" s="37">
        <v>1475</v>
      </c>
      <c r="I110" s="36" t="s">
        <v>697</v>
      </c>
      <c r="J110" s="34" t="s">
        <v>698</v>
      </c>
      <c r="K110" s="38"/>
      <c r="L110" s="36" t="s">
        <v>695</v>
      </c>
      <c r="M110" s="36" t="s">
        <v>695</v>
      </c>
      <c r="N110" s="38"/>
      <c r="O110" s="38"/>
      <c r="P110" s="1"/>
      <c r="Q110" s="40"/>
    </row>
    <row r="111" spans="2:17" ht="16.5" x14ac:dyDescent="0.3">
      <c r="B111" s="33">
        <v>107</v>
      </c>
      <c r="C111" s="34" t="s">
        <v>694</v>
      </c>
      <c r="D111" s="35" t="s">
        <v>711</v>
      </c>
      <c r="E111" s="34" t="s">
        <v>696</v>
      </c>
      <c r="F111" s="36" t="s">
        <v>818</v>
      </c>
      <c r="G111" s="36" t="s">
        <v>1224</v>
      </c>
      <c r="H111" s="37">
        <v>6445</v>
      </c>
      <c r="I111" s="36" t="s">
        <v>697</v>
      </c>
      <c r="J111" s="34" t="s">
        <v>698</v>
      </c>
      <c r="K111" s="38"/>
      <c r="L111" s="36" t="s">
        <v>695</v>
      </c>
      <c r="M111" s="36" t="s">
        <v>695</v>
      </c>
      <c r="N111" s="38"/>
      <c r="O111" s="38"/>
      <c r="P111" s="1"/>
      <c r="Q111" s="40"/>
    </row>
    <row r="112" spans="2:17" ht="16.5" x14ac:dyDescent="0.3">
      <c r="B112" s="33">
        <v>108</v>
      </c>
      <c r="C112" s="34" t="s">
        <v>694</v>
      </c>
      <c r="D112" s="35" t="s">
        <v>711</v>
      </c>
      <c r="E112" s="34" t="s">
        <v>696</v>
      </c>
      <c r="F112" s="36" t="s">
        <v>819</v>
      </c>
      <c r="G112" s="36" t="s">
        <v>1225</v>
      </c>
      <c r="H112" s="37">
        <v>2063</v>
      </c>
      <c r="I112" s="36" t="s">
        <v>697</v>
      </c>
      <c r="J112" s="34" t="s">
        <v>698</v>
      </c>
      <c r="K112" s="38"/>
      <c r="L112" s="36" t="s">
        <v>695</v>
      </c>
      <c r="M112" s="36" t="s">
        <v>695</v>
      </c>
      <c r="N112" s="38"/>
      <c r="O112" s="38"/>
      <c r="P112" s="1"/>
      <c r="Q112" s="40"/>
    </row>
    <row r="113" spans="2:17" ht="16.5" x14ac:dyDescent="0.3">
      <c r="B113" s="33">
        <v>109</v>
      </c>
      <c r="C113" s="34" t="s">
        <v>694</v>
      </c>
      <c r="D113" s="35" t="s">
        <v>711</v>
      </c>
      <c r="E113" s="34" t="s">
        <v>696</v>
      </c>
      <c r="F113" s="36" t="s">
        <v>820</v>
      </c>
      <c r="G113" s="36" t="s">
        <v>1226</v>
      </c>
      <c r="H113" s="37">
        <v>15000</v>
      </c>
      <c r="I113" s="36" t="s">
        <v>697</v>
      </c>
      <c r="J113" s="34" t="s">
        <v>698</v>
      </c>
      <c r="K113" s="38"/>
      <c r="L113" s="36" t="s">
        <v>695</v>
      </c>
      <c r="M113" s="36" t="s">
        <v>695</v>
      </c>
      <c r="N113" s="38"/>
      <c r="O113" s="38"/>
      <c r="P113" s="1"/>
      <c r="Q113" s="40"/>
    </row>
    <row r="114" spans="2:17" ht="16.5" x14ac:dyDescent="0.3">
      <c r="B114" s="33">
        <v>110</v>
      </c>
      <c r="C114" s="34" t="s">
        <v>694</v>
      </c>
      <c r="D114" s="35" t="s">
        <v>711</v>
      </c>
      <c r="E114" s="34" t="s">
        <v>696</v>
      </c>
      <c r="F114" s="36" t="s">
        <v>821</v>
      </c>
      <c r="G114" s="36" t="s">
        <v>1227</v>
      </c>
      <c r="H114" s="37">
        <v>2250</v>
      </c>
      <c r="I114" s="36" t="s">
        <v>697</v>
      </c>
      <c r="J114" s="34" t="s">
        <v>698</v>
      </c>
      <c r="K114" s="38"/>
      <c r="L114" s="36" t="s">
        <v>695</v>
      </c>
      <c r="M114" s="36" t="s">
        <v>695</v>
      </c>
      <c r="N114" s="38"/>
      <c r="O114" s="38"/>
      <c r="P114" s="1"/>
      <c r="Q114" s="40"/>
    </row>
    <row r="115" spans="2:17" ht="16.5" x14ac:dyDescent="0.3">
      <c r="B115" s="33">
        <v>111</v>
      </c>
      <c r="C115" s="34" t="s">
        <v>694</v>
      </c>
      <c r="D115" s="35" t="s">
        <v>711</v>
      </c>
      <c r="E115" s="34" t="s">
        <v>696</v>
      </c>
      <c r="F115" s="36" t="s">
        <v>822</v>
      </c>
      <c r="G115" s="36" t="s">
        <v>1228</v>
      </c>
      <c r="H115" s="37">
        <v>2600</v>
      </c>
      <c r="I115" s="36" t="s">
        <v>697</v>
      </c>
      <c r="J115" s="34" t="s">
        <v>698</v>
      </c>
      <c r="K115" s="38"/>
      <c r="L115" s="36" t="s">
        <v>695</v>
      </c>
      <c r="M115" s="36" t="s">
        <v>695</v>
      </c>
      <c r="N115" s="38"/>
      <c r="O115" s="38"/>
      <c r="P115" s="1"/>
      <c r="Q115" s="40"/>
    </row>
    <row r="116" spans="2:17" ht="16.5" x14ac:dyDescent="0.3">
      <c r="B116" s="33">
        <v>112</v>
      </c>
      <c r="C116" s="34" t="s">
        <v>694</v>
      </c>
      <c r="D116" s="35" t="s">
        <v>711</v>
      </c>
      <c r="E116" s="34" t="s">
        <v>696</v>
      </c>
      <c r="F116" s="36" t="s">
        <v>823</v>
      </c>
      <c r="G116" s="36" t="s">
        <v>1229</v>
      </c>
      <c r="H116" s="37">
        <v>3000</v>
      </c>
      <c r="I116" s="36" t="s">
        <v>701</v>
      </c>
      <c r="J116" s="34" t="s">
        <v>698</v>
      </c>
      <c r="K116" s="38"/>
      <c r="L116" s="36" t="s">
        <v>695</v>
      </c>
      <c r="M116" s="36" t="s">
        <v>695</v>
      </c>
      <c r="N116" s="38"/>
      <c r="O116" s="38"/>
      <c r="P116" s="1"/>
      <c r="Q116" s="40"/>
    </row>
    <row r="117" spans="2:17" ht="16.5" x14ac:dyDescent="0.3">
      <c r="B117" s="33">
        <v>113</v>
      </c>
      <c r="C117" s="34" t="s">
        <v>694</v>
      </c>
      <c r="D117" s="35" t="s">
        <v>711</v>
      </c>
      <c r="E117" s="34" t="s">
        <v>696</v>
      </c>
      <c r="F117" s="36" t="s">
        <v>824</v>
      </c>
      <c r="G117" s="36" t="s">
        <v>1230</v>
      </c>
      <c r="H117" s="37">
        <v>2620</v>
      </c>
      <c r="I117" s="36" t="s">
        <v>697</v>
      </c>
      <c r="J117" s="34" t="s">
        <v>698</v>
      </c>
      <c r="K117" s="38"/>
      <c r="L117" s="36" t="s">
        <v>695</v>
      </c>
      <c r="M117" s="36" t="s">
        <v>695</v>
      </c>
      <c r="N117" s="38"/>
      <c r="O117" s="38"/>
      <c r="P117" s="1"/>
      <c r="Q117" s="40"/>
    </row>
    <row r="118" spans="2:17" ht="16.5" x14ac:dyDescent="0.3">
      <c r="B118" s="33">
        <v>114</v>
      </c>
      <c r="C118" s="34" t="s">
        <v>694</v>
      </c>
      <c r="D118" s="35" t="s">
        <v>711</v>
      </c>
      <c r="E118" s="34" t="s">
        <v>696</v>
      </c>
      <c r="F118" s="36" t="s">
        <v>825</v>
      </c>
      <c r="G118" s="36" t="s">
        <v>1231</v>
      </c>
      <c r="H118" s="37">
        <v>2551</v>
      </c>
      <c r="I118" s="36" t="s">
        <v>697</v>
      </c>
      <c r="J118" s="34" t="s">
        <v>698</v>
      </c>
      <c r="K118" s="38"/>
      <c r="L118" s="36" t="s">
        <v>695</v>
      </c>
      <c r="M118" s="36" t="s">
        <v>695</v>
      </c>
      <c r="N118" s="38"/>
      <c r="O118" s="38"/>
      <c r="P118" s="1"/>
      <c r="Q118" s="40"/>
    </row>
    <row r="119" spans="2:17" ht="16.5" x14ac:dyDescent="0.3">
      <c r="B119" s="33">
        <v>115</v>
      </c>
      <c r="C119" s="34" t="s">
        <v>694</v>
      </c>
      <c r="D119" s="35" t="s">
        <v>711</v>
      </c>
      <c r="E119" s="34" t="s">
        <v>696</v>
      </c>
      <c r="F119" s="36" t="s">
        <v>826</v>
      </c>
      <c r="G119" s="36" t="s">
        <v>1232</v>
      </c>
      <c r="H119" s="37">
        <v>3000</v>
      </c>
      <c r="I119" s="36" t="s">
        <v>701</v>
      </c>
      <c r="J119" s="34" t="s">
        <v>698</v>
      </c>
      <c r="K119" s="38"/>
      <c r="L119" s="36" t="s">
        <v>695</v>
      </c>
      <c r="M119" s="36" t="s">
        <v>695</v>
      </c>
      <c r="N119" s="38"/>
      <c r="O119" s="38"/>
      <c r="P119" s="1"/>
      <c r="Q119" s="40"/>
    </row>
    <row r="120" spans="2:17" ht="16.5" x14ac:dyDescent="0.3">
      <c r="B120" s="33">
        <v>116</v>
      </c>
      <c r="C120" s="34" t="s">
        <v>694</v>
      </c>
      <c r="D120" s="35" t="s">
        <v>711</v>
      </c>
      <c r="E120" s="34" t="s">
        <v>696</v>
      </c>
      <c r="F120" s="36" t="s">
        <v>827</v>
      </c>
      <c r="G120" s="36" t="s">
        <v>1233</v>
      </c>
      <c r="H120" s="37">
        <v>3000</v>
      </c>
      <c r="I120" s="36" t="s">
        <v>701</v>
      </c>
      <c r="J120" s="34" t="s">
        <v>698</v>
      </c>
      <c r="K120" s="38"/>
      <c r="L120" s="36" t="s">
        <v>695</v>
      </c>
      <c r="M120" s="36" t="s">
        <v>695</v>
      </c>
      <c r="N120" s="38"/>
      <c r="O120" s="38"/>
      <c r="P120" s="1"/>
      <c r="Q120" s="40"/>
    </row>
    <row r="121" spans="2:17" ht="16.5" x14ac:dyDescent="0.3">
      <c r="B121" s="33">
        <v>117</v>
      </c>
      <c r="C121" s="34" t="s">
        <v>694</v>
      </c>
      <c r="D121" s="35" t="s">
        <v>711</v>
      </c>
      <c r="E121" s="34" t="s">
        <v>696</v>
      </c>
      <c r="F121" s="36" t="s">
        <v>828</v>
      </c>
      <c r="G121" s="36" t="s">
        <v>1234</v>
      </c>
      <c r="H121" s="37">
        <v>3000</v>
      </c>
      <c r="I121" s="36" t="s">
        <v>701</v>
      </c>
      <c r="J121" s="34" t="s">
        <v>698</v>
      </c>
      <c r="K121" s="38"/>
      <c r="L121" s="36" t="s">
        <v>695</v>
      </c>
      <c r="M121" s="36" t="s">
        <v>695</v>
      </c>
      <c r="N121" s="38"/>
      <c r="O121" s="38"/>
      <c r="P121" s="1"/>
      <c r="Q121" s="40"/>
    </row>
    <row r="122" spans="2:17" ht="16.5" x14ac:dyDescent="0.3">
      <c r="B122" s="33">
        <v>118</v>
      </c>
      <c r="C122" s="34" t="s">
        <v>694</v>
      </c>
      <c r="D122" s="35" t="s">
        <v>711</v>
      </c>
      <c r="E122" s="34" t="s">
        <v>696</v>
      </c>
      <c r="F122" s="36" t="s">
        <v>829</v>
      </c>
      <c r="G122" s="36" t="s">
        <v>1235</v>
      </c>
      <c r="H122" s="37">
        <v>3000</v>
      </c>
      <c r="I122" s="36" t="s">
        <v>701</v>
      </c>
      <c r="J122" s="34" t="s">
        <v>698</v>
      </c>
      <c r="K122" s="38"/>
      <c r="L122" s="36" t="s">
        <v>695</v>
      </c>
      <c r="M122" s="36" t="s">
        <v>695</v>
      </c>
      <c r="N122" s="38"/>
      <c r="O122" s="38"/>
      <c r="P122" s="1"/>
      <c r="Q122" s="40"/>
    </row>
    <row r="123" spans="2:17" ht="16.5" x14ac:dyDescent="0.3">
      <c r="B123" s="33">
        <v>119</v>
      </c>
      <c r="C123" s="34" t="s">
        <v>694</v>
      </c>
      <c r="D123" s="35" t="s">
        <v>711</v>
      </c>
      <c r="E123" s="34" t="s">
        <v>696</v>
      </c>
      <c r="F123" s="36" t="s">
        <v>830</v>
      </c>
      <c r="G123" s="36" t="s">
        <v>1236</v>
      </c>
      <c r="H123" s="37">
        <v>7000</v>
      </c>
      <c r="I123" s="36" t="s">
        <v>697</v>
      </c>
      <c r="J123" s="34" t="s">
        <v>698</v>
      </c>
      <c r="K123" s="38"/>
      <c r="L123" s="36" t="s">
        <v>695</v>
      </c>
      <c r="M123" s="36" t="s">
        <v>695</v>
      </c>
      <c r="N123" s="38"/>
      <c r="O123" s="38"/>
      <c r="P123" s="1"/>
      <c r="Q123" s="40"/>
    </row>
    <row r="124" spans="2:17" ht="16.5" x14ac:dyDescent="0.3">
      <c r="B124" s="33">
        <v>120</v>
      </c>
      <c r="C124" s="34" t="s">
        <v>694</v>
      </c>
      <c r="D124" s="35" t="s">
        <v>711</v>
      </c>
      <c r="E124" s="34" t="s">
        <v>696</v>
      </c>
      <c r="F124" s="36" t="s">
        <v>831</v>
      </c>
      <c r="G124" s="36" t="s">
        <v>1237</v>
      </c>
      <c r="H124" s="37">
        <v>60958</v>
      </c>
      <c r="I124" s="36" t="s">
        <v>697</v>
      </c>
      <c r="J124" s="34" t="s">
        <v>698</v>
      </c>
      <c r="K124" s="38"/>
      <c r="L124" s="36" t="s">
        <v>695</v>
      </c>
      <c r="M124" s="36" t="s">
        <v>695</v>
      </c>
      <c r="N124" s="38"/>
      <c r="O124" s="38"/>
      <c r="P124" s="1"/>
      <c r="Q124" s="40"/>
    </row>
    <row r="125" spans="2:17" ht="16.5" x14ac:dyDescent="0.3">
      <c r="B125" s="33">
        <v>121</v>
      </c>
      <c r="C125" s="34" t="s">
        <v>694</v>
      </c>
      <c r="D125" s="35" t="s">
        <v>711</v>
      </c>
      <c r="E125" s="34" t="s">
        <v>696</v>
      </c>
      <c r="F125" s="36" t="s">
        <v>832</v>
      </c>
      <c r="G125" s="36" t="s">
        <v>1238</v>
      </c>
      <c r="H125" s="37">
        <v>3000</v>
      </c>
      <c r="I125" s="36" t="s">
        <v>701</v>
      </c>
      <c r="J125" s="34" t="s">
        <v>698</v>
      </c>
      <c r="K125" s="38"/>
      <c r="L125" s="36" t="s">
        <v>695</v>
      </c>
      <c r="M125" s="36" t="s">
        <v>695</v>
      </c>
      <c r="N125" s="38"/>
      <c r="O125" s="38"/>
      <c r="P125" s="1"/>
      <c r="Q125" s="40"/>
    </row>
    <row r="126" spans="2:17" ht="16.5" x14ac:dyDescent="0.3">
      <c r="B126" s="33">
        <v>122</v>
      </c>
      <c r="C126" s="34" t="s">
        <v>694</v>
      </c>
      <c r="D126" s="35" t="s">
        <v>711</v>
      </c>
      <c r="E126" s="34" t="s">
        <v>696</v>
      </c>
      <c r="F126" s="36" t="s">
        <v>833</v>
      </c>
      <c r="G126" s="36" t="s">
        <v>1239</v>
      </c>
      <c r="H126" s="37">
        <v>3000</v>
      </c>
      <c r="I126" s="36" t="s">
        <v>701</v>
      </c>
      <c r="J126" s="34" t="s">
        <v>698</v>
      </c>
      <c r="K126" s="38"/>
      <c r="L126" s="36" t="s">
        <v>695</v>
      </c>
      <c r="M126" s="36" t="s">
        <v>695</v>
      </c>
      <c r="N126" s="38"/>
      <c r="O126" s="38"/>
      <c r="P126" s="1"/>
      <c r="Q126" s="40"/>
    </row>
    <row r="127" spans="2:17" ht="16.5" x14ac:dyDescent="0.3">
      <c r="B127" s="33">
        <v>123</v>
      </c>
      <c r="C127" s="34" t="s">
        <v>694</v>
      </c>
      <c r="D127" s="35" t="s">
        <v>711</v>
      </c>
      <c r="E127" s="34" t="s">
        <v>696</v>
      </c>
      <c r="F127" s="36" t="s">
        <v>834</v>
      </c>
      <c r="G127" s="36" t="s">
        <v>1240</v>
      </c>
      <c r="H127" s="37">
        <v>3000</v>
      </c>
      <c r="I127" s="36" t="s">
        <v>701</v>
      </c>
      <c r="J127" s="34" t="s">
        <v>698</v>
      </c>
      <c r="K127" s="38"/>
      <c r="L127" s="36" t="s">
        <v>695</v>
      </c>
      <c r="M127" s="36" t="s">
        <v>695</v>
      </c>
      <c r="N127" s="38"/>
      <c r="O127" s="38"/>
      <c r="P127" s="1"/>
      <c r="Q127" s="40"/>
    </row>
    <row r="128" spans="2:17" ht="16.5" x14ac:dyDescent="0.3">
      <c r="B128" s="33">
        <v>124</v>
      </c>
      <c r="C128" s="34" t="s">
        <v>694</v>
      </c>
      <c r="D128" s="35" t="s">
        <v>711</v>
      </c>
      <c r="E128" s="34" t="s">
        <v>696</v>
      </c>
      <c r="F128" s="36" t="s">
        <v>835</v>
      </c>
      <c r="G128" s="36" t="s">
        <v>1241</v>
      </c>
      <c r="H128" s="37">
        <v>3000</v>
      </c>
      <c r="I128" s="36" t="s">
        <v>701</v>
      </c>
      <c r="J128" s="34" t="s">
        <v>698</v>
      </c>
      <c r="K128" s="38"/>
      <c r="L128" s="36" t="s">
        <v>695</v>
      </c>
      <c r="M128" s="36" t="s">
        <v>695</v>
      </c>
      <c r="N128" s="38"/>
      <c r="O128" s="38"/>
      <c r="P128" s="1"/>
      <c r="Q128" s="40"/>
    </row>
    <row r="129" spans="2:17" ht="16.5" x14ac:dyDescent="0.3">
      <c r="B129" s="33">
        <v>125</v>
      </c>
      <c r="C129" s="34" t="s">
        <v>694</v>
      </c>
      <c r="D129" s="35" t="s">
        <v>711</v>
      </c>
      <c r="E129" s="34" t="s">
        <v>696</v>
      </c>
      <c r="F129" s="36" t="s">
        <v>836</v>
      </c>
      <c r="G129" s="36" t="s">
        <v>1242</v>
      </c>
      <c r="H129" s="37">
        <v>3000</v>
      </c>
      <c r="I129" s="36" t="s">
        <v>701</v>
      </c>
      <c r="J129" s="34" t="s">
        <v>698</v>
      </c>
      <c r="K129" s="38"/>
      <c r="L129" s="36" t="s">
        <v>695</v>
      </c>
      <c r="M129" s="36" t="s">
        <v>695</v>
      </c>
      <c r="N129" s="38"/>
      <c r="O129" s="38"/>
      <c r="P129" s="1"/>
      <c r="Q129" s="40"/>
    </row>
    <row r="130" spans="2:17" ht="16.5" x14ac:dyDescent="0.3">
      <c r="B130" s="33">
        <v>126</v>
      </c>
      <c r="C130" s="34" t="s">
        <v>694</v>
      </c>
      <c r="D130" s="35" t="s">
        <v>711</v>
      </c>
      <c r="E130" s="34" t="s">
        <v>696</v>
      </c>
      <c r="F130" s="36" t="s">
        <v>837</v>
      </c>
      <c r="G130" s="36" t="s">
        <v>1243</v>
      </c>
      <c r="H130" s="37">
        <v>3000</v>
      </c>
      <c r="I130" s="36" t="s">
        <v>697</v>
      </c>
      <c r="J130" s="34" t="s">
        <v>698</v>
      </c>
      <c r="K130" s="38"/>
      <c r="L130" s="36" t="s">
        <v>695</v>
      </c>
      <c r="M130" s="36" t="s">
        <v>695</v>
      </c>
      <c r="N130" s="38"/>
      <c r="O130" s="38"/>
      <c r="P130" s="1"/>
      <c r="Q130" s="40"/>
    </row>
    <row r="131" spans="2:17" ht="16.5" x14ac:dyDescent="0.3">
      <c r="B131" s="33">
        <v>127</v>
      </c>
      <c r="C131" s="34" t="s">
        <v>694</v>
      </c>
      <c r="D131" s="35" t="s">
        <v>711</v>
      </c>
      <c r="E131" s="34" t="s">
        <v>696</v>
      </c>
      <c r="F131" s="36" t="s">
        <v>838</v>
      </c>
      <c r="G131" s="36" t="s">
        <v>1244</v>
      </c>
      <c r="H131" s="37">
        <v>3984</v>
      </c>
      <c r="I131" s="36" t="s">
        <v>697</v>
      </c>
      <c r="J131" s="34" t="s">
        <v>698</v>
      </c>
      <c r="K131" s="38"/>
      <c r="L131" s="36" t="s">
        <v>695</v>
      </c>
      <c r="M131" s="36" t="s">
        <v>695</v>
      </c>
      <c r="N131" s="38"/>
      <c r="O131" s="38"/>
      <c r="P131" s="1"/>
      <c r="Q131" s="40"/>
    </row>
    <row r="132" spans="2:17" ht="16.5" x14ac:dyDescent="0.3">
      <c r="B132" s="33">
        <v>128</v>
      </c>
      <c r="C132" s="34" t="s">
        <v>694</v>
      </c>
      <c r="D132" s="35" t="s">
        <v>711</v>
      </c>
      <c r="E132" s="34" t="s">
        <v>696</v>
      </c>
      <c r="F132" s="36" t="s">
        <v>839</v>
      </c>
      <c r="G132" s="36" t="s">
        <v>1245</v>
      </c>
      <c r="H132" s="37">
        <v>3850</v>
      </c>
      <c r="I132" s="36" t="s">
        <v>697</v>
      </c>
      <c r="J132" s="34" t="s">
        <v>698</v>
      </c>
      <c r="K132" s="38"/>
      <c r="L132" s="36" t="s">
        <v>695</v>
      </c>
      <c r="M132" s="36" t="s">
        <v>695</v>
      </c>
      <c r="N132" s="38"/>
      <c r="O132" s="38"/>
      <c r="P132" s="1"/>
      <c r="Q132" s="40"/>
    </row>
    <row r="133" spans="2:17" ht="16.5" x14ac:dyDescent="0.3">
      <c r="B133" s="33">
        <v>129</v>
      </c>
      <c r="C133" s="34" t="s">
        <v>694</v>
      </c>
      <c r="D133" s="35" t="s">
        <v>711</v>
      </c>
      <c r="E133" s="34" t="s">
        <v>696</v>
      </c>
      <c r="F133" s="36" t="s">
        <v>840</v>
      </c>
      <c r="G133" s="36" t="s">
        <v>1246</v>
      </c>
      <c r="H133" s="37">
        <v>5000</v>
      </c>
      <c r="I133" s="36" t="s">
        <v>697</v>
      </c>
      <c r="J133" s="34" t="s">
        <v>698</v>
      </c>
      <c r="K133" s="38"/>
      <c r="L133" s="36" t="s">
        <v>695</v>
      </c>
      <c r="M133" s="36" t="s">
        <v>695</v>
      </c>
      <c r="N133" s="38"/>
      <c r="O133" s="38"/>
      <c r="P133" s="1"/>
      <c r="Q133" s="40"/>
    </row>
    <row r="134" spans="2:17" ht="16.5" x14ac:dyDescent="0.3">
      <c r="B134" s="33">
        <v>130</v>
      </c>
      <c r="C134" s="34" t="s">
        <v>694</v>
      </c>
      <c r="D134" s="35" t="s">
        <v>711</v>
      </c>
      <c r="E134" s="34" t="s">
        <v>696</v>
      </c>
      <c r="F134" s="36" t="s">
        <v>841</v>
      </c>
      <c r="G134" s="36" t="s">
        <v>1247</v>
      </c>
      <c r="H134" s="37">
        <v>6604</v>
      </c>
      <c r="I134" s="36" t="s">
        <v>697</v>
      </c>
      <c r="J134" s="34" t="s">
        <v>698</v>
      </c>
      <c r="K134" s="38"/>
      <c r="L134" s="36" t="s">
        <v>695</v>
      </c>
      <c r="M134" s="36" t="s">
        <v>695</v>
      </c>
      <c r="N134" s="38"/>
      <c r="O134" s="38"/>
      <c r="P134" s="1"/>
      <c r="Q134" s="40"/>
    </row>
    <row r="135" spans="2:17" ht="16.5" x14ac:dyDescent="0.3">
      <c r="B135" s="33">
        <v>131</v>
      </c>
      <c r="C135" s="34" t="s">
        <v>694</v>
      </c>
      <c r="D135" s="35" t="s">
        <v>711</v>
      </c>
      <c r="E135" s="34" t="s">
        <v>696</v>
      </c>
      <c r="F135" s="36" t="s">
        <v>842</v>
      </c>
      <c r="G135" s="36" t="s">
        <v>1248</v>
      </c>
      <c r="H135" s="37">
        <v>4200</v>
      </c>
      <c r="I135" s="36" t="s">
        <v>697</v>
      </c>
      <c r="J135" s="34" t="s">
        <v>698</v>
      </c>
      <c r="K135" s="38"/>
      <c r="L135" s="36" t="s">
        <v>695</v>
      </c>
      <c r="M135" s="36" t="s">
        <v>695</v>
      </c>
      <c r="N135" s="38"/>
      <c r="O135" s="38"/>
      <c r="P135" s="1"/>
      <c r="Q135" s="40"/>
    </row>
    <row r="136" spans="2:17" ht="16.5" x14ac:dyDescent="0.3">
      <c r="B136" s="33">
        <v>132</v>
      </c>
      <c r="C136" s="34" t="s">
        <v>694</v>
      </c>
      <c r="D136" s="35" t="s">
        <v>711</v>
      </c>
      <c r="E136" s="34" t="s">
        <v>696</v>
      </c>
      <c r="F136" s="36" t="s">
        <v>843</v>
      </c>
      <c r="G136" s="36" t="s">
        <v>1249</v>
      </c>
      <c r="H136" s="37">
        <v>10000</v>
      </c>
      <c r="I136" s="36" t="s">
        <v>697</v>
      </c>
      <c r="J136" s="34" t="s">
        <v>698</v>
      </c>
      <c r="K136" s="38"/>
      <c r="L136" s="36" t="s">
        <v>695</v>
      </c>
      <c r="M136" s="36" t="s">
        <v>695</v>
      </c>
      <c r="N136" s="38"/>
      <c r="O136" s="38"/>
      <c r="P136" s="1"/>
      <c r="Q136" s="40"/>
    </row>
    <row r="137" spans="2:17" ht="16.5" x14ac:dyDescent="0.3">
      <c r="B137" s="33">
        <v>133</v>
      </c>
      <c r="C137" s="34" t="s">
        <v>694</v>
      </c>
      <c r="D137" s="35" t="s">
        <v>711</v>
      </c>
      <c r="E137" s="34" t="s">
        <v>696</v>
      </c>
      <c r="F137" s="36" t="s">
        <v>844</v>
      </c>
      <c r="G137" s="36" t="s">
        <v>1250</v>
      </c>
      <c r="H137" s="37">
        <v>3000</v>
      </c>
      <c r="I137" s="36" t="s">
        <v>701</v>
      </c>
      <c r="J137" s="34" t="s">
        <v>698</v>
      </c>
      <c r="K137" s="38"/>
      <c r="L137" s="36" t="s">
        <v>695</v>
      </c>
      <c r="M137" s="36" t="s">
        <v>695</v>
      </c>
      <c r="N137" s="38"/>
      <c r="O137" s="38"/>
      <c r="P137" s="1"/>
      <c r="Q137" s="40"/>
    </row>
    <row r="138" spans="2:17" ht="16.5" x14ac:dyDescent="0.3">
      <c r="B138" s="33">
        <v>134</v>
      </c>
      <c r="C138" s="34" t="s">
        <v>694</v>
      </c>
      <c r="D138" s="35" t="s">
        <v>711</v>
      </c>
      <c r="E138" s="34" t="s">
        <v>696</v>
      </c>
      <c r="F138" s="36" t="s">
        <v>845</v>
      </c>
      <c r="G138" s="36" t="s">
        <v>1251</v>
      </c>
      <c r="H138" s="37">
        <v>5260</v>
      </c>
      <c r="I138" s="36" t="s">
        <v>697</v>
      </c>
      <c r="J138" s="34" t="s">
        <v>698</v>
      </c>
      <c r="K138" s="38"/>
      <c r="L138" s="36" t="s">
        <v>695</v>
      </c>
      <c r="M138" s="36" t="s">
        <v>695</v>
      </c>
      <c r="N138" s="38"/>
      <c r="O138" s="38"/>
      <c r="P138" s="1"/>
      <c r="Q138" s="40"/>
    </row>
    <row r="139" spans="2:17" ht="16.5" x14ac:dyDescent="0.3">
      <c r="B139" s="33">
        <v>135</v>
      </c>
      <c r="C139" s="34" t="s">
        <v>694</v>
      </c>
      <c r="D139" s="35" t="s">
        <v>711</v>
      </c>
      <c r="E139" s="34" t="s">
        <v>696</v>
      </c>
      <c r="F139" s="36" t="s">
        <v>846</v>
      </c>
      <c r="G139" s="36" t="s">
        <v>1252</v>
      </c>
      <c r="H139" s="37">
        <v>3000</v>
      </c>
      <c r="I139" s="36" t="s">
        <v>701</v>
      </c>
      <c r="J139" s="34" t="s">
        <v>698</v>
      </c>
      <c r="K139" s="38"/>
      <c r="L139" s="36" t="s">
        <v>695</v>
      </c>
      <c r="M139" s="36" t="s">
        <v>695</v>
      </c>
      <c r="N139" s="38"/>
      <c r="O139" s="38"/>
      <c r="P139" s="1"/>
      <c r="Q139" s="40"/>
    </row>
    <row r="140" spans="2:17" ht="16.5" x14ac:dyDescent="0.3">
      <c r="B140" s="33">
        <v>136</v>
      </c>
      <c r="C140" s="34" t="s">
        <v>694</v>
      </c>
      <c r="D140" s="35" t="s">
        <v>711</v>
      </c>
      <c r="E140" s="34" t="s">
        <v>696</v>
      </c>
      <c r="F140" s="36" t="s">
        <v>847</v>
      </c>
      <c r="G140" s="36" t="s">
        <v>1253</v>
      </c>
      <c r="H140" s="37">
        <v>10679</v>
      </c>
      <c r="I140" s="36" t="s">
        <v>697</v>
      </c>
      <c r="J140" s="34" t="s">
        <v>698</v>
      </c>
      <c r="K140" s="38"/>
      <c r="L140" s="36" t="s">
        <v>695</v>
      </c>
      <c r="M140" s="36" t="s">
        <v>695</v>
      </c>
      <c r="N140" s="38"/>
      <c r="O140" s="38"/>
      <c r="P140" s="1"/>
      <c r="Q140" s="40"/>
    </row>
    <row r="141" spans="2:17" ht="16.5" x14ac:dyDescent="0.3">
      <c r="B141" s="33">
        <v>137</v>
      </c>
      <c r="C141" s="34" t="s">
        <v>694</v>
      </c>
      <c r="D141" s="35" t="s">
        <v>711</v>
      </c>
      <c r="E141" s="34" t="s">
        <v>696</v>
      </c>
      <c r="F141" s="36" t="s">
        <v>848</v>
      </c>
      <c r="G141" s="36" t="s">
        <v>1254</v>
      </c>
      <c r="H141" s="37">
        <v>3000</v>
      </c>
      <c r="I141" s="36" t="s">
        <v>701</v>
      </c>
      <c r="J141" s="34" t="s">
        <v>698</v>
      </c>
      <c r="K141" s="38"/>
      <c r="L141" s="36" t="s">
        <v>695</v>
      </c>
      <c r="M141" s="36" t="s">
        <v>695</v>
      </c>
      <c r="N141" s="38"/>
      <c r="O141" s="38"/>
      <c r="P141" s="1"/>
      <c r="Q141" s="40"/>
    </row>
    <row r="142" spans="2:17" ht="16.5" x14ac:dyDescent="0.3">
      <c r="B142" s="33">
        <v>138</v>
      </c>
      <c r="C142" s="34" t="s">
        <v>694</v>
      </c>
      <c r="D142" s="35" t="s">
        <v>711</v>
      </c>
      <c r="E142" s="34" t="s">
        <v>696</v>
      </c>
      <c r="F142" s="36" t="s">
        <v>849</v>
      </c>
      <c r="G142" s="36" t="s">
        <v>1255</v>
      </c>
      <c r="H142" s="37">
        <v>3000</v>
      </c>
      <c r="I142" s="36" t="s">
        <v>701</v>
      </c>
      <c r="J142" s="34" t="s">
        <v>698</v>
      </c>
      <c r="K142" s="38"/>
      <c r="L142" s="36" t="s">
        <v>695</v>
      </c>
      <c r="M142" s="36" t="s">
        <v>695</v>
      </c>
      <c r="N142" s="38"/>
      <c r="O142" s="38"/>
      <c r="P142" s="1"/>
      <c r="Q142" s="40"/>
    </row>
    <row r="143" spans="2:17" ht="16.5" x14ac:dyDescent="0.3">
      <c r="B143" s="33">
        <v>139</v>
      </c>
      <c r="C143" s="34" t="s">
        <v>694</v>
      </c>
      <c r="D143" s="35" t="s">
        <v>711</v>
      </c>
      <c r="E143" s="34" t="s">
        <v>696</v>
      </c>
      <c r="F143" s="36" t="s">
        <v>850</v>
      </c>
      <c r="G143" s="36" t="s">
        <v>1256</v>
      </c>
      <c r="H143" s="37">
        <v>3000</v>
      </c>
      <c r="I143" s="36" t="s">
        <v>701</v>
      </c>
      <c r="J143" s="34" t="s">
        <v>698</v>
      </c>
      <c r="K143" s="38"/>
      <c r="L143" s="36" t="s">
        <v>695</v>
      </c>
      <c r="M143" s="36" t="s">
        <v>695</v>
      </c>
      <c r="N143" s="38"/>
      <c r="O143" s="38"/>
      <c r="P143" s="1"/>
      <c r="Q143" s="40"/>
    </row>
    <row r="144" spans="2:17" ht="16.5" x14ac:dyDescent="0.3">
      <c r="B144" s="33">
        <v>140</v>
      </c>
      <c r="C144" s="34" t="s">
        <v>694</v>
      </c>
      <c r="D144" s="35" t="s">
        <v>711</v>
      </c>
      <c r="E144" s="34" t="s">
        <v>696</v>
      </c>
      <c r="F144" s="36" t="s">
        <v>851</v>
      </c>
      <c r="G144" s="36" t="s">
        <v>1257</v>
      </c>
      <c r="H144" s="37">
        <v>3000</v>
      </c>
      <c r="I144" s="36" t="s">
        <v>701</v>
      </c>
      <c r="J144" s="34" t="s">
        <v>698</v>
      </c>
      <c r="K144" s="38"/>
      <c r="L144" s="36" t="s">
        <v>695</v>
      </c>
      <c r="M144" s="36" t="s">
        <v>695</v>
      </c>
      <c r="N144" s="38"/>
      <c r="O144" s="38"/>
      <c r="P144" s="1"/>
      <c r="Q144" s="40"/>
    </row>
    <row r="145" spans="2:17" ht="16.5" x14ac:dyDescent="0.3">
      <c r="B145" s="33">
        <v>141</v>
      </c>
      <c r="C145" s="34" t="s">
        <v>694</v>
      </c>
      <c r="D145" s="35" t="s">
        <v>711</v>
      </c>
      <c r="E145" s="34" t="s">
        <v>696</v>
      </c>
      <c r="F145" s="36" t="s">
        <v>852</v>
      </c>
      <c r="G145" s="36" t="s">
        <v>1258</v>
      </c>
      <c r="H145" s="37">
        <v>2700</v>
      </c>
      <c r="I145" s="36" t="s">
        <v>697</v>
      </c>
      <c r="J145" s="34" t="s">
        <v>698</v>
      </c>
      <c r="K145" s="38"/>
      <c r="L145" s="36" t="s">
        <v>695</v>
      </c>
      <c r="M145" s="36" t="s">
        <v>695</v>
      </c>
      <c r="N145" s="38"/>
      <c r="O145" s="38"/>
      <c r="P145" s="1"/>
      <c r="Q145" s="40"/>
    </row>
    <row r="146" spans="2:17" ht="16.5" x14ac:dyDescent="0.3">
      <c r="B146" s="33">
        <v>142</v>
      </c>
      <c r="C146" s="34" t="s">
        <v>694</v>
      </c>
      <c r="D146" s="35" t="s">
        <v>711</v>
      </c>
      <c r="E146" s="34" t="s">
        <v>696</v>
      </c>
      <c r="F146" s="36" t="s">
        <v>853</v>
      </c>
      <c r="G146" s="36" t="s">
        <v>1259</v>
      </c>
      <c r="H146" s="37">
        <v>2144</v>
      </c>
      <c r="I146" s="36" t="s">
        <v>697</v>
      </c>
      <c r="J146" s="34" t="s">
        <v>698</v>
      </c>
      <c r="K146" s="38"/>
      <c r="L146" s="36" t="s">
        <v>695</v>
      </c>
      <c r="M146" s="36" t="s">
        <v>695</v>
      </c>
      <c r="N146" s="38"/>
      <c r="O146" s="38"/>
      <c r="P146" s="1"/>
      <c r="Q146" s="40"/>
    </row>
    <row r="147" spans="2:17" ht="16.5" x14ac:dyDescent="0.3">
      <c r="B147" s="33">
        <v>143</v>
      </c>
      <c r="C147" s="34" t="s">
        <v>694</v>
      </c>
      <c r="D147" s="35" t="s">
        <v>711</v>
      </c>
      <c r="E147" s="34" t="s">
        <v>696</v>
      </c>
      <c r="F147" s="36" t="s">
        <v>854</v>
      </c>
      <c r="G147" s="36" t="s">
        <v>1260</v>
      </c>
      <c r="H147" s="37">
        <v>3000</v>
      </c>
      <c r="I147" s="36" t="s">
        <v>701</v>
      </c>
      <c r="J147" s="34" t="s">
        <v>698</v>
      </c>
      <c r="K147" s="38"/>
      <c r="L147" s="36" t="s">
        <v>695</v>
      </c>
      <c r="M147" s="36" t="s">
        <v>695</v>
      </c>
      <c r="N147" s="38"/>
      <c r="O147" s="38"/>
      <c r="P147" s="1"/>
      <c r="Q147" s="40"/>
    </row>
    <row r="148" spans="2:17" ht="16.5" x14ac:dyDescent="0.3">
      <c r="B148" s="33">
        <v>144</v>
      </c>
      <c r="C148" s="34" t="s">
        <v>694</v>
      </c>
      <c r="D148" s="35" t="s">
        <v>711</v>
      </c>
      <c r="E148" s="34" t="s">
        <v>696</v>
      </c>
      <c r="F148" s="36" t="s">
        <v>855</v>
      </c>
      <c r="G148" s="36" t="s">
        <v>1261</v>
      </c>
      <c r="H148" s="37">
        <v>3000</v>
      </c>
      <c r="I148" s="36" t="s">
        <v>701</v>
      </c>
      <c r="J148" s="34" t="s">
        <v>698</v>
      </c>
      <c r="K148" s="38"/>
      <c r="L148" s="36" t="s">
        <v>695</v>
      </c>
      <c r="M148" s="36" t="s">
        <v>695</v>
      </c>
      <c r="N148" s="38"/>
      <c r="O148" s="38"/>
      <c r="P148" s="1"/>
      <c r="Q148" s="40"/>
    </row>
    <row r="149" spans="2:17" ht="16.5" x14ac:dyDescent="0.3">
      <c r="B149" s="33">
        <v>145</v>
      </c>
      <c r="C149" s="34" t="s">
        <v>694</v>
      </c>
      <c r="D149" s="35" t="s">
        <v>711</v>
      </c>
      <c r="E149" s="34" t="s">
        <v>696</v>
      </c>
      <c r="F149" s="36" t="s">
        <v>856</v>
      </c>
      <c r="G149" s="36" t="s">
        <v>1262</v>
      </c>
      <c r="H149" s="37">
        <v>3000</v>
      </c>
      <c r="I149" s="36" t="s">
        <v>701</v>
      </c>
      <c r="J149" s="34" t="s">
        <v>698</v>
      </c>
      <c r="K149" s="38"/>
      <c r="L149" s="36" t="s">
        <v>695</v>
      </c>
      <c r="M149" s="36" t="s">
        <v>695</v>
      </c>
      <c r="N149" s="38"/>
      <c r="O149" s="38"/>
      <c r="P149" s="1"/>
      <c r="Q149" s="40"/>
    </row>
    <row r="150" spans="2:17" ht="16.5" x14ac:dyDescent="0.3">
      <c r="B150" s="33">
        <v>146</v>
      </c>
      <c r="C150" s="34" t="s">
        <v>694</v>
      </c>
      <c r="D150" s="35" t="s">
        <v>711</v>
      </c>
      <c r="E150" s="34" t="s">
        <v>696</v>
      </c>
      <c r="F150" s="36" t="s">
        <v>857</v>
      </c>
      <c r="G150" s="36" t="s">
        <v>1263</v>
      </c>
      <c r="H150" s="37">
        <v>3000</v>
      </c>
      <c r="I150" s="36" t="s">
        <v>701</v>
      </c>
      <c r="J150" s="34" t="s">
        <v>698</v>
      </c>
      <c r="K150" s="38"/>
      <c r="L150" s="36" t="s">
        <v>695</v>
      </c>
      <c r="M150" s="36" t="s">
        <v>695</v>
      </c>
      <c r="N150" s="38"/>
      <c r="O150" s="38"/>
      <c r="P150" s="1"/>
      <c r="Q150" s="40"/>
    </row>
    <row r="151" spans="2:17" ht="16.5" x14ac:dyDescent="0.3">
      <c r="B151" s="33">
        <v>147</v>
      </c>
      <c r="C151" s="34" t="s">
        <v>694</v>
      </c>
      <c r="D151" s="35" t="s">
        <v>711</v>
      </c>
      <c r="E151" s="34" t="s">
        <v>696</v>
      </c>
      <c r="F151" s="36" t="s">
        <v>858</v>
      </c>
      <c r="G151" s="36" t="s">
        <v>1264</v>
      </c>
      <c r="H151" s="37">
        <v>64814</v>
      </c>
      <c r="I151" s="36" t="s">
        <v>697</v>
      </c>
      <c r="J151" s="34" t="s">
        <v>698</v>
      </c>
      <c r="K151" s="38"/>
      <c r="L151" s="36" t="s">
        <v>695</v>
      </c>
      <c r="M151" s="36" t="s">
        <v>695</v>
      </c>
      <c r="N151" s="38"/>
      <c r="O151" s="38"/>
      <c r="P151" s="1"/>
      <c r="Q151" s="40"/>
    </row>
    <row r="152" spans="2:17" ht="16.5" x14ac:dyDescent="0.3">
      <c r="B152" s="33">
        <v>148</v>
      </c>
      <c r="C152" s="34" t="s">
        <v>694</v>
      </c>
      <c r="D152" s="35" t="s">
        <v>711</v>
      </c>
      <c r="E152" s="34" t="s">
        <v>696</v>
      </c>
      <c r="F152" s="36" t="s">
        <v>859</v>
      </c>
      <c r="G152" s="36" t="s">
        <v>1265</v>
      </c>
      <c r="H152" s="37">
        <v>3000</v>
      </c>
      <c r="I152" s="36" t="s">
        <v>701</v>
      </c>
      <c r="J152" s="34" t="s">
        <v>698</v>
      </c>
      <c r="K152" s="38"/>
      <c r="L152" s="36" t="s">
        <v>695</v>
      </c>
      <c r="M152" s="36" t="s">
        <v>695</v>
      </c>
      <c r="N152" s="38"/>
      <c r="O152" s="38"/>
      <c r="P152" s="1"/>
      <c r="Q152" s="40"/>
    </row>
    <row r="153" spans="2:17" ht="16.5" x14ac:dyDescent="0.3">
      <c r="B153" s="33">
        <v>149</v>
      </c>
      <c r="C153" s="34" t="s">
        <v>694</v>
      </c>
      <c r="D153" s="35" t="s">
        <v>711</v>
      </c>
      <c r="E153" s="34" t="s">
        <v>696</v>
      </c>
      <c r="F153" s="36" t="s">
        <v>860</v>
      </c>
      <c r="G153" s="36" t="s">
        <v>1266</v>
      </c>
      <c r="H153" s="37">
        <v>3000</v>
      </c>
      <c r="I153" s="36" t="s">
        <v>701</v>
      </c>
      <c r="J153" s="34" t="s">
        <v>698</v>
      </c>
      <c r="K153" s="38"/>
      <c r="L153" s="36" t="s">
        <v>695</v>
      </c>
      <c r="M153" s="36" t="s">
        <v>695</v>
      </c>
      <c r="N153" s="38"/>
      <c r="O153" s="38"/>
      <c r="P153" s="1"/>
      <c r="Q153" s="40"/>
    </row>
    <row r="154" spans="2:17" ht="16.5" x14ac:dyDescent="0.3">
      <c r="B154" s="33">
        <v>150</v>
      </c>
      <c r="C154" s="34" t="s">
        <v>694</v>
      </c>
      <c r="D154" s="35" t="s">
        <v>711</v>
      </c>
      <c r="E154" s="34" t="s">
        <v>696</v>
      </c>
      <c r="F154" s="36" t="s">
        <v>861</v>
      </c>
      <c r="G154" s="36" t="s">
        <v>1267</v>
      </c>
      <c r="H154" s="37">
        <v>3000</v>
      </c>
      <c r="I154" s="36" t="s">
        <v>701</v>
      </c>
      <c r="J154" s="34" t="s">
        <v>698</v>
      </c>
      <c r="K154" s="38"/>
      <c r="L154" s="36" t="s">
        <v>695</v>
      </c>
      <c r="M154" s="36" t="s">
        <v>695</v>
      </c>
      <c r="N154" s="38"/>
      <c r="O154" s="38"/>
      <c r="P154" s="1"/>
      <c r="Q154" s="40"/>
    </row>
    <row r="155" spans="2:17" ht="16.5" x14ac:dyDescent="0.3">
      <c r="B155" s="33">
        <v>151</v>
      </c>
      <c r="C155" s="34" t="s">
        <v>694</v>
      </c>
      <c r="D155" s="35" t="s">
        <v>711</v>
      </c>
      <c r="E155" s="34" t="s">
        <v>696</v>
      </c>
      <c r="F155" s="36" t="s">
        <v>862</v>
      </c>
      <c r="G155" s="36" t="s">
        <v>1268</v>
      </c>
      <c r="H155" s="37">
        <v>3000</v>
      </c>
      <c r="I155" s="36" t="s">
        <v>701</v>
      </c>
      <c r="J155" s="34" t="s">
        <v>698</v>
      </c>
      <c r="K155" s="38"/>
      <c r="L155" s="36" t="s">
        <v>695</v>
      </c>
      <c r="M155" s="36" t="s">
        <v>695</v>
      </c>
      <c r="N155" s="38"/>
      <c r="O155" s="38"/>
      <c r="P155" s="1"/>
      <c r="Q155" s="40"/>
    </row>
    <row r="156" spans="2:17" ht="16.5" x14ac:dyDescent="0.3">
      <c r="B156" s="33">
        <v>152</v>
      </c>
      <c r="C156" s="34" t="s">
        <v>694</v>
      </c>
      <c r="D156" s="35" t="s">
        <v>711</v>
      </c>
      <c r="E156" s="34" t="s">
        <v>696</v>
      </c>
      <c r="F156" s="36" t="s">
        <v>863</v>
      </c>
      <c r="G156" s="36" t="s">
        <v>1269</v>
      </c>
      <c r="H156" s="37">
        <v>3000</v>
      </c>
      <c r="I156" s="36" t="s">
        <v>701</v>
      </c>
      <c r="J156" s="34" t="s">
        <v>698</v>
      </c>
      <c r="K156" s="38"/>
      <c r="L156" s="36" t="s">
        <v>695</v>
      </c>
      <c r="M156" s="36" t="s">
        <v>695</v>
      </c>
      <c r="N156" s="38"/>
      <c r="O156" s="38"/>
      <c r="P156" s="1"/>
      <c r="Q156" s="40"/>
    </row>
    <row r="157" spans="2:17" ht="16.5" x14ac:dyDescent="0.3">
      <c r="B157" s="33">
        <v>153</v>
      </c>
      <c r="C157" s="34" t="s">
        <v>694</v>
      </c>
      <c r="D157" s="35" t="s">
        <v>711</v>
      </c>
      <c r="E157" s="34" t="s">
        <v>696</v>
      </c>
      <c r="F157" s="36" t="s">
        <v>864</v>
      </c>
      <c r="G157" s="36" t="s">
        <v>1270</v>
      </c>
      <c r="H157" s="37">
        <v>3000</v>
      </c>
      <c r="I157" s="36" t="s">
        <v>701</v>
      </c>
      <c r="J157" s="34" t="s">
        <v>698</v>
      </c>
      <c r="K157" s="38"/>
      <c r="L157" s="36" t="s">
        <v>695</v>
      </c>
      <c r="M157" s="36" t="s">
        <v>695</v>
      </c>
      <c r="N157" s="38"/>
      <c r="O157" s="38"/>
      <c r="P157" s="1"/>
      <c r="Q157" s="40"/>
    </row>
    <row r="158" spans="2:17" ht="16.5" x14ac:dyDescent="0.3">
      <c r="B158" s="33">
        <v>154</v>
      </c>
      <c r="C158" s="34" t="s">
        <v>694</v>
      </c>
      <c r="D158" s="35" t="s">
        <v>711</v>
      </c>
      <c r="E158" s="34" t="s">
        <v>696</v>
      </c>
      <c r="F158" s="36" t="s">
        <v>865</v>
      </c>
      <c r="G158" s="36" t="s">
        <v>1271</v>
      </c>
      <c r="H158" s="37">
        <v>10000</v>
      </c>
      <c r="I158" s="36" t="s">
        <v>697</v>
      </c>
      <c r="J158" s="34" t="s">
        <v>698</v>
      </c>
      <c r="K158" s="38"/>
      <c r="L158" s="36" t="s">
        <v>695</v>
      </c>
      <c r="M158" s="36" t="s">
        <v>695</v>
      </c>
      <c r="N158" s="38"/>
      <c r="O158" s="38"/>
      <c r="P158" s="1"/>
      <c r="Q158" s="40"/>
    </row>
    <row r="159" spans="2:17" ht="16.5" x14ac:dyDescent="0.3">
      <c r="B159" s="33">
        <v>155</v>
      </c>
      <c r="C159" s="34" t="s">
        <v>694</v>
      </c>
      <c r="D159" s="35" t="s">
        <v>711</v>
      </c>
      <c r="E159" s="34" t="s">
        <v>696</v>
      </c>
      <c r="F159" s="36" t="s">
        <v>866</v>
      </c>
      <c r="G159" s="36" t="s">
        <v>1272</v>
      </c>
      <c r="H159" s="37">
        <v>3120</v>
      </c>
      <c r="I159" s="36" t="s">
        <v>697</v>
      </c>
      <c r="J159" s="34" t="s">
        <v>698</v>
      </c>
      <c r="K159" s="38"/>
      <c r="L159" s="36" t="s">
        <v>695</v>
      </c>
      <c r="M159" s="36" t="s">
        <v>695</v>
      </c>
      <c r="N159" s="38"/>
      <c r="O159" s="38"/>
      <c r="P159" s="1"/>
      <c r="Q159" s="40"/>
    </row>
    <row r="160" spans="2:17" ht="16.5" x14ac:dyDescent="0.3">
      <c r="B160" s="33">
        <v>156</v>
      </c>
      <c r="C160" s="34" t="s">
        <v>694</v>
      </c>
      <c r="D160" s="35" t="s">
        <v>711</v>
      </c>
      <c r="E160" s="34" t="s">
        <v>696</v>
      </c>
      <c r="F160" s="36" t="s">
        <v>867</v>
      </c>
      <c r="G160" s="36" t="s">
        <v>1273</v>
      </c>
      <c r="H160" s="37">
        <v>12000</v>
      </c>
      <c r="I160" s="36" t="s">
        <v>697</v>
      </c>
      <c r="J160" s="34" t="s">
        <v>698</v>
      </c>
      <c r="K160" s="38"/>
      <c r="L160" s="36" t="s">
        <v>695</v>
      </c>
      <c r="M160" s="36" t="s">
        <v>695</v>
      </c>
      <c r="N160" s="38"/>
      <c r="O160" s="38"/>
      <c r="P160" s="1"/>
      <c r="Q160" s="40"/>
    </row>
    <row r="161" spans="2:17" ht="16.5" x14ac:dyDescent="0.3">
      <c r="B161" s="33">
        <v>157</v>
      </c>
      <c r="C161" s="34" t="s">
        <v>694</v>
      </c>
      <c r="D161" s="35" t="s">
        <v>711</v>
      </c>
      <c r="E161" s="34" t="s">
        <v>696</v>
      </c>
      <c r="F161" s="36" t="s">
        <v>868</v>
      </c>
      <c r="G161" s="36" t="s">
        <v>1274</v>
      </c>
      <c r="H161" s="37">
        <v>3606</v>
      </c>
      <c r="I161" s="36" t="s">
        <v>697</v>
      </c>
      <c r="J161" s="34" t="s">
        <v>698</v>
      </c>
      <c r="K161" s="38"/>
      <c r="L161" s="36" t="s">
        <v>695</v>
      </c>
      <c r="M161" s="36" t="s">
        <v>695</v>
      </c>
      <c r="N161" s="38"/>
      <c r="O161" s="38"/>
      <c r="P161" s="1"/>
      <c r="Q161" s="40"/>
    </row>
    <row r="162" spans="2:17" ht="16.5" x14ac:dyDescent="0.3">
      <c r="B162" s="33">
        <v>158</v>
      </c>
      <c r="C162" s="34" t="s">
        <v>694</v>
      </c>
      <c r="D162" s="35" t="s">
        <v>711</v>
      </c>
      <c r="E162" s="34" t="s">
        <v>696</v>
      </c>
      <c r="F162" s="36" t="s">
        <v>869</v>
      </c>
      <c r="G162" s="36" t="s">
        <v>1275</v>
      </c>
      <c r="H162" s="37">
        <v>3147</v>
      </c>
      <c r="I162" s="36" t="s">
        <v>697</v>
      </c>
      <c r="J162" s="34" t="s">
        <v>698</v>
      </c>
      <c r="K162" s="38"/>
      <c r="L162" s="36" t="s">
        <v>695</v>
      </c>
      <c r="M162" s="36" t="s">
        <v>695</v>
      </c>
      <c r="N162" s="38"/>
      <c r="O162" s="38"/>
      <c r="P162" s="1"/>
      <c r="Q162" s="40"/>
    </row>
    <row r="163" spans="2:17" ht="16.5" x14ac:dyDescent="0.3">
      <c r="B163" s="33">
        <v>159</v>
      </c>
      <c r="C163" s="34" t="s">
        <v>694</v>
      </c>
      <c r="D163" s="35" t="s">
        <v>711</v>
      </c>
      <c r="E163" s="34" t="s">
        <v>696</v>
      </c>
      <c r="F163" s="36" t="s">
        <v>870</v>
      </c>
      <c r="G163" s="36" t="s">
        <v>1276</v>
      </c>
      <c r="H163" s="37">
        <v>3080</v>
      </c>
      <c r="I163" s="36" t="s">
        <v>697</v>
      </c>
      <c r="J163" s="34" t="s">
        <v>698</v>
      </c>
      <c r="K163" s="38"/>
      <c r="L163" s="36" t="s">
        <v>695</v>
      </c>
      <c r="M163" s="36" t="s">
        <v>695</v>
      </c>
      <c r="N163" s="38"/>
      <c r="O163" s="38"/>
      <c r="P163" s="1"/>
      <c r="Q163" s="40"/>
    </row>
    <row r="164" spans="2:17" ht="16.5" x14ac:dyDescent="0.3">
      <c r="B164" s="33">
        <v>160</v>
      </c>
      <c r="C164" s="34" t="s">
        <v>694</v>
      </c>
      <c r="D164" s="35" t="s">
        <v>711</v>
      </c>
      <c r="E164" s="34" t="s">
        <v>696</v>
      </c>
      <c r="F164" s="36" t="s">
        <v>871</v>
      </c>
      <c r="G164" s="36" t="s">
        <v>1277</v>
      </c>
      <c r="H164" s="37">
        <v>5106</v>
      </c>
      <c r="I164" s="36" t="s">
        <v>697</v>
      </c>
      <c r="J164" s="34" t="s">
        <v>698</v>
      </c>
      <c r="K164" s="38"/>
      <c r="L164" s="36" t="s">
        <v>695</v>
      </c>
      <c r="M164" s="36" t="s">
        <v>695</v>
      </c>
      <c r="N164" s="38"/>
      <c r="O164" s="38"/>
      <c r="P164" s="1"/>
      <c r="Q164" s="40"/>
    </row>
    <row r="165" spans="2:17" ht="16.5" x14ac:dyDescent="0.3">
      <c r="B165" s="33">
        <v>161</v>
      </c>
      <c r="C165" s="34" t="s">
        <v>694</v>
      </c>
      <c r="D165" s="35" t="s">
        <v>711</v>
      </c>
      <c r="E165" s="34" t="s">
        <v>696</v>
      </c>
      <c r="F165" s="36" t="s">
        <v>872</v>
      </c>
      <c r="G165" s="36" t="s">
        <v>1278</v>
      </c>
      <c r="H165" s="37">
        <v>3000</v>
      </c>
      <c r="I165" s="36" t="s">
        <v>701</v>
      </c>
      <c r="J165" s="34" t="s">
        <v>698</v>
      </c>
      <c r="K165" s="38"/>
      <c r="L165" s="36" t="s">
        <v>695</v>
      </c>
      <c r="M165" s="36" t="s">
        <v>695</v>
      </c>
      <c r="N165" s="38"/>
      <c r="O165" s="38"/>
      <c r="P165" s="1"/>
      <c r="Q165" s="40"/>
    </row>
    <row r="166" spans="2:17" ht="16.5" x14ac:dyDescent="0.3">
      <c r="B166" s="33">
        <v>162</v>
      </c>
      <c r="C166" s="34" t="s">
        <v>694</v>
      </c>
      <c r="D166" s="35" t="s">
        <v>711</v>
      </c>
      <c r="E166" s="34" t="s">
        <v>696</v>
      </c>
      <c r="F166" s="36" t="s">
        <v>873</v>
      </c>
      <c r="G166" s="36" t="s">
        <v>1279</v>
      </c>
      <c r="H166" s="37">
        <v>5462</v>
      </c>
      <c r="I166" s="36" t="s">
        <v>697</v>
      </c>
      <c r="J166" s="34" t="s">
        <v>698</v>
      </c>
      <c r="K166" s="38"/>
      <c r="L166" s="36" t="s">
        <v>695</v>
      </c>
      <c r="M166" s="36" t="s">
        <v>695</v>
      </c>
      <c r="N166" s="38"/>
      <c r="O166" s="38"/>
      <c r="P166" s="1"/>
      <c r="Q166" s="40"/>
    </row>
    <row r="167" spans="2:17" ht="16.5" x14ac:dyDescent="0.3">
      <c r="B167" s="33">
        <v>163</v>
      </c>
      <c r="C167" s="34" t="s">
        <v>694</v>
      </c>
      <c r="D167" s="35" t="s">
        <v>711</v>
      </c>
      <c r="E167" s="34" t="s">
        <v>696</v>
      </c>
      <c r="F167" s="36" t="s">
        <v>874</v>
      </c>
      <c r="G167" s="36" t="s">
        <v>1280</v>
      </c>
      <c r="H167" s="37">
        <v>2360</v>
      </c>
      <c r="I167" s="36" t="s">
        <v>697</v>
      </c>
      <c r="J167" s="34" t="s">
        <v>698</v>
      </c>
      <c r="K167" s="38"/>
      <c r="L167" s="36" t="s">
        <v>695</v>
      </c>
      <c r="M167" s="36" t="s">
        <v>695</v>
      </c>
      <c r="N167" s="38"/>
      <c r="O167" s="38"/>
      <c r="P167" s="1"/>
      <c r="Q167" s="40"/>
    </row>
    <row r="168" spans="2:17" ht="16.5" x14ac:dyDescent="0.3">
      <c r="B168" s="33">
        <v>164</v>
      </c>
      <c r="C168" s="34" t="s">
        <v>694</v>
      </c>
      <c r="D168" s="35" t="s">
        <v>711</v>
      </c>
      <c r="E168" s="34" t="s">
        <v>696</v>
      </c>
      <c r="F168" s="36" t="s">
        <v>875</v>
      </c>
      <c r="G168" s="36" t="s">
        <v>1281</v>
      </c>
      <c r="H168" s="37">
        <v>3680</v>
      </c>
      <c r="I168" s="36" t="s">
        <v>697</v>
      </c>
      <c r="J168" s="34" t="s">
        <v>698</v>
      </c>
      <c r="K168" s="38"/>
      <c r="L168" s="36" t="s">
        <v>695</v>
      </c>
      <c r="M168" s="36" t="s">
        <v>695</v>
      </c>
      <c r="N168" s="38"/>
      <c r="O168" s="38"/>
      <c r="P168" s="1"/>
      <c r="Q168" s="40"/>
    </row>
    <row r="169" spans="2:17" ht="16.5" x14ac:dyDescent="0.3">
      <c r="B169" s="33">
        <v>165</v>
      </c>
      <c r="C169" s="34" t="s">
        <v>694</v>
      </c>
      <c r="D169" s="35" t="s">
        <v>711</v>
      </c>
      <c r="E169" s="34" t="s">
        <v>696</v>
      </c>
      <c r="F169" s="36" t="s">
        <v>876</v>
      </c>
      <c r="G169" s="36" t="s">
        <v>1282</v>
      </c>
      <c r="H169" s="37">
        <v>3162</v>
      </c>
      <c r="I169" s="36" t="s">
        <v>697</v>
      </c>
      <c r="J169" s="34" t="s">
        <v>698</v>
      </c>
      <c r="K169" s="38"/>
      <c r="L169" s="36" t="s">
        <v>695</v>
      </c>
      <c r="M169" s="36" t="s">
        <v>695</v>
      </c>
      <c r="N169" s="38"/>
      <c r="O169" s="38"/>
      <c r="P169" s="1"/>
      <c r="Q169" s="40"/>
    </row>
    <row r="170" spans="2:17" ht="16.5" x14ac:dyDescent="0.3">
      <c r="B170" s="33">
        <v>166</v>
      </c>
      <c r="C170" s="34" t="s">
        <v>694</v>
      </c>
      <c r="D170" s="35" t="s">
        <v>711</v>
      </c>
      <c r="E170" s="34" t="s">
        <v>696</v>
      </c>
      <c r="F170" s="36" t="s">
        <v>877</v>
      </c>
      <c r="G170" s="36" t="s">
        <v>1283</v>
      </c>
      <c r="H170" s="37">
        <v>5579</v>
      </c>
      <c r="I170" s="36" t="s">
        <v>697</v>
      </c>
      <c r="J170" s="34" t="s">
        <v>698</v>
      </c>
      <c r="K170" s="38"/>
      <c r="L170" s="36" t="s">
        <v>695</v>
      </c>
      <c r="M170" s="36" t="s">
        <v>695</v>
      </c>
      <c r="N170" s="38"/>
      <c r="O170" s="38"/>
      <c r="P170" s="1"/>
      <c r="Q170" s="40"/>
    </row>
    <row r="171" spans="2:17" ht="16.5" x14ac:dyDescent="0.3">
      <c r="B171" s="33">
        <v>167</v>
      </c>
      <c r="C171" s="34" t="s">
        <v>694</v>
      </c>
      <c r="D171" s="35" t="s">
        <v>711</v>
      </c>
      <c r="E171" s="34" t="s">
        <v>696</v>
      </c>
      <c r="F171" s="36" t="s">
        <v>878</v>
      </c>
      <c r="G171" s="36" t="s">
        <v>1284</v>
      </c>
      <c r="H171" s="37">
        <v>2223</v>
      </c>
      <c r="I171" s="36" t="s">
        <v>697</v>
      </c>
      <c r="J171" s="34" t="s">
        <v>698</v>
      </c>
      <c r="K171" s="38"/>
      <c r="L171" s="36" t="s">
        <v>695</v>
      </c>
      <c r="M171" s="36" t="s">
        <v>695</v>
      </c>
      <c r="N171" s="38"/>
      <c r="O171" s="38"/>
      <c r="P171" s="1"/>
      <c r="Q171" s="40"/>
    </row>
    <row r="172" spans="2:17" ht="16.5" x14ac:dyDescent="0.3">
      <c r="B172" s="33">
        <v>168</v>
      </c>
      <c r="C172" s="34" t="s">
        <v>694</v>
      </c>
      <c r="D172" s="35" t="s">
        <v>711</v>
      </c>
      <c r="E172" s="34" t="s">
        <v>696</v>
      </c>
      <c r="F172" s="36" t="s">
        <v>879</v>
      </c>
      <c r="G172" s="36" t="s">
        <v>1285</v>
      </c>
      <c r="H172" s="37">
        <v>3200</v>
      </c>
      <c r="I172" s="36" t="s">
        <v>697</v>
      </c>
      <c r="J172" s="34" t="s">
        <v>698</v>
      </c>
      <c r="K172" s="38"/>
      <c r="L172" s="36" t="s">
        <v>695</v>
      </c>
      <c r="M172" s="36" t="s">
        <v>695</v>
      </c>
      <c r="N172" s="38"/>
      <c r="O172" s="38"/>
      <c r="P172" s="1"/>
      <c r="Q172" s="40"/>
    </row>
    <row r="173" spans="2:17" ht="16.5" x14ac:dyDescent="0.3">
      <c r="B173" s="33">
        <v>169</v>
      </c>
      <c r="C173" s="34" t="s">
        <v>694</v>
      </c>
      <c r="D173" s="35" t="s">
        <v>711</v>
      </c>
      <c r="E173" s="34" t="s">
        <v>696</v>
      </c>
      <c r="F173" s="36" t="s">
        <v>880</v>
      </c>
      <c r="G173" s="36" t="s">
        <v>1286</v>
      </c>
      <c r="H173" s="37">
        <v>4973</v>
      </c>
      <c r="I173" s="36" t="s">
        <v>697</v>
      </c>
      <c r="J173" s="34" t="s">
        <v>698</v>
      </c>
      <c r="K173" s="38"/>
      <c r="L173" s="36" t="s">
        <v>695</v>
      </c>
      <c r="M173" s="36" t="s">
        <v>695</v>
      </c>
      <c r="N173" s="38"/>
      <c r="O173" s="38"/>
      <c r="P173" s="1"/>
      <c r="Q173" s="40"/>
    </row>
    <row r="174" spans="2:17" ht="16.5" x14ac:dyDescent="0.3">
      <c r="B174" s="33">
        <v>170</v>
      </c>
      <c r="C174" s="34" t="s">
        <v>694</v>
      </c>
      <c r="D174" s="35" t="s">
        <v>711</v>
      </c>
      <c r="E174" s="34" t="s">
        <v>696</v>
      </c>
      <c r="F174" s="36" t="s">
        <v>881</v>
      </c>
      <c r="G174" s="36" t="s">
        <v>1287</v>
      </c>
      <c r="H174" s="37">
        <v>1134</v>
      </c>
      <c r="I174" s="36" t="s">
        <v>697</v>
      </c>
      <c r="J174" s="34" t="s">
        <v>698</v>
      </c>
      <c r="K174" s="38"/>
      <c r="L174" s="36" t="s">
        <v>695</v>
      </c>
      <c r="M174" s="36" t="s">
        <v>695</v>
      </c>
      <c r="N174" s="38"/>
      <c r="O174" s="38"/>
      <c r="P174" s="1"/>
      <c r="Q174" s="40"/>
    </row>
    <row r="175" spans="2:17" ht="16.5" x14ac:dyDescent="0.3">
      <c r="B175" s="33">
        <v>171</v>
      </c>
      <c r="C175" s="34" t="s">
        <v>694</v>
      </c>
      <c r="D175" s="35" t="s">
        <v>711</v>
      </c>
      <c r="E175" s="34" t="s">
        <v>696</v>
      </c>
      <c r="F175" s="36" t="s">
        <v>882</v>
      </c>
      <c r="G175" s="36" t="s">
        <v>1288</v>
      </c>
      <c r="H175" s="37">
        <v>2285</v>
      </c>
      <c r="I175" s="36" t="s">
        <v>697</v>
      </c>
      <c r="J175" s="34" t="s">
        <v>698</v>
      </c>
      <c r="K175" s="38"/>
      <c r="L175" s="36" t="s">
        <v>695</v>
      </c>
      <c r="M175" s="36" t="s">
        <v>695</v>
      </c>
      <c r="N175" s="38"/>
      <c r="O175" s="38"/>
      <c r="P175" s="1"/>
      <c r="Q175" s="40"/>
    </row>
    <row r="176" spans="2:17" ht="16.5" x14ac:dyDescent="0.3">
      <c r="B176" s="33">
        <v>172</v>
      </c>
      <c r="C176" s="34" t="s">
        <v>694</v>
      </c>
      <c r="D176" s="35" t="s">
        <v>711</v>
      </c>
      <c r="E176" s="34" t="s">
        <v>696</v>
      </c>
      <c r="F176" s="36" t="s">
        <v>883</v>
      </c>
      <c r="G176" s="36" t="s">
        <v>1289</v>
      </c>
      <c r="H176" s="37">
        <v>1100</v>
      </c>
      <c r="I176" s="36" t="s">
        <v>697</v>
      </c>
      <c r="J176" s="34" t="s">
        <v>698</v>
      </c>
      <c r="K176" s="38"/>
      <c r="L176" s="36" t="s">
        <v>695</v>
      </c>
      <c r="M176" s="36" t="s">
        <v>695</v>
      </c>
      <c r="N176" s="38"/>
      <c r="O176" s="38"/>
      <c r="P176" s="1"/>
      <c r="Q176" s="40"/>
    </row>
    <row r="177" spans="2:17" ht="16.5" x14ac:dyDescent="0.3">
      <c r="B177" s="33">
        <v>173</v>
      </c>
      <c r="C177" s="34" t="s">
        <v>694</v>
      </c>
      <c r="D177" s="35" t="s">
        <v>711</v>
      </c>
      <c r="E177" s="34" t="s">
        <v>696</v>
      </c>
      <c r="F177" s="36" t="s">
        <v>884</v>
      </c>
      <c r="G177" s="36" t="s">
        <v>1290</v>
      </c>
      <c r="H177" s="37">
        <v>1465</v>
      </c>
      <c r="I177" s="36" t="s">
        <v>697</v>
      </c>
      <c r="J177" s="34" t="s">
        <v>698</v>
      </c>
      <c r="K177" s="38"/>
      <c r="L177" s="36" t="s">
        <v>695</v>
      </c>
      <c r="M177" s="36" t="s">
        <v>695</v>
      </c>
      <c r="N177" s="38"/>
      <c r="O177" s="38"/>
      <c r="P177" s="1"/>
      <c r="Q177" s="40"/>
    </row>
    <row r="178" spans="2:17" ht="16.5" x14ac:dyDescent="0.3">
      <c r="B178" s="33">
        <v>174</v>
      </c>
      <c r="C178" s="34" t="s">
        <v>694</v>
      </c>
      <c r="D178" s="35" t="s">
        <v>711</v>
      </c>
      <c r="E178" s="34" t="s">
        <v>696</v>
      </c>
      <c r="F178" s="36" t="s">
        <v>885</v>
      </c>
      <c r="G178" s="36" t="s">
        <v>1291</v>
      </c>
      <c r="H178" s="37">
        <v>2052</v>
      </c>
      <c r="I178" s="36" t="s">
        <v>697</v>
      </c>
      <c r="J178" s="34" t="s">
        <v>698</v>
      </c>
      <c r="K178" s="38"/>
      <c r="L178" s="36" t="s">
        <v>695</v>
      </c>
      <c r="M178" s="36" t="s">
        <v>695</v>
      </c>
      <c r="N178" s="38"/>
      <c r="O178" s="38"/>
      <c r="P178" s="1"/>
      <c r="Q178" s="40"/>
    </row>
    <row r="179" spans="2:17" ht="16.5" x14ac:dyDescent="0.3">
      <c r="B179" s="33">
        <v>175</v>
      </c>
      <c r="C179" s="34" t="s">
        <v>694</v>
      </c>
      <c r="D179" s="35" t="s">
        <v>711</v>
      </c>
      <c r="E179" s="34" t="s">
        <v>696</v>
      </c>
      <c r="F179" s="36" t="s">
        <v>886</v>
      </c>
      <c r="G179" s="36" t="s">
        <v>1292</v>
      </c>
      <c r="H179" s="37">
        <v>1076</v>
      </c>
      <c r="I179" s="36" t="s">
        <v>697</v>
      </c>
      <c r="J179" s="34" t="s">
        <v>698</v>
      </c>
      <c r="K179" s="38"/>
      <c r="L179" s="36" t="s">
        <v>695</v>
      </c>
      <c r="M179" s="36" t="s">
        <v>695</v>
      </c>
      <c r="N179" s="38"/>
      <c r="O179" s="38"/>
      <c r="P179" s="1"/>
      <c r="Q179" s="40"/>
    </row>
    <row r="180" spans="2:17" ht="16.5" x14ac:dyDescent="0.3">
      <c r="B180" s="33">
        <v>176</v>
      </c>
      <c r="C180" s="34" t="s">
        <v>694</v>
      </c>
      <c r="D180" s="35" t="s">
        <v>711</v>
      </c>
      <c r="E180" s="34" t="s">
        <v>696</v>
      </c>
      <c r="F180" s="36" t="s">
        <v>887</v>
      </c>
      <c r="G180" s="36" t="s">
        <v>1293</v>
      </c>
      <c r="H180" s="37">
        <v>1274</v>
      </c>
      <c r="I180" s="36" t="s">
        <v>697</v>
      </c>
      <c r="J180" s="34" t="s">
        <v>698</v>
      </c>
      <c r="K180" s="38"/>
      <c r="L180" s="36" t="s">
        <v>695</v>
      </c>
      <c r="M180" s="36" t="s">
        <v>695</v>
      </c>
      <c r="N180" s="38"/>
      <c r="O180" s="38"/>
      <c r="P180" s="1"/>
      <c r="Q180" s="40"/>
    </row>
    <row r="181" spans="2:17" ht="16.5" x14ac:dyDescent="0.3">
      <c r="B181" s="33">
        <v>177</v>
      </c>
      <c r="C181" s="34" t="s">
        <v>694</v>
      </c>
      <c r="D181" s="35" t="s">
        <v>711</v>
      </c>
      <c r="E181" s="34" t="s">
        <v>696</v>
      </c>
      <c r="F181" s="36" t="s">
        <v>888</v>
      </c>
      <c r="G181" s="36" t="s">
        <v>1294</v>
      </c>
      <c r="H181" s="37">
        <v>1525</v>
      </c>
      <c r="I181" s="36" t="s">
        <v>697</v>
      </c>
      <c r="J181" s="34" t="s">
        <v>698</v>
      </c>
      <c r="K181" s="38"/>
      <c r="L181" s="36" t="s">
        <v>695</v>
      </c>
      <c r="M181" s="36" t="s">
        <v>695</v>
      </c>
      <c r="N181" s="38"/>
      <c r="O181" s="38"/>
      <c r="P181" s="1"/>
      <c r="Q181" s="40"/>
    </row>
    <row r="182" spans="2:17" ht="16.5" x14ac:dyDescent="0.3">
      <c r="B182" s="33">
        <v>178</v>
      </c>
      <c r="C182" s="34" t="s">
        <v>694</v>
      </c>
      <c r="D182" s="35" t="s">
        <v>711</v>
      </c>
      <c r="E182" s="34" t="s">
        <v>696</v>
      </c>
      <c r="F182" s="36" t="s">
        <v>889</v>
      </c>
      <c r="G182" s="36" t="s">
        <v>1295</v>
      </c>
      <c r="H182" s="37">
        <v>1539</v>
      </c>
      <c r="I182" s="36" t="s">
        <v>697</v>
      </c>
      <c r="J182" s="34" t="s">
        <v>698</v>
      </c>
      <c r="K182" s="38"/>
      <c r="L182" s="36" t="s">
        <v>695</v>
      </c>
      <c r="M182" s="36" t="s">
        <v>695</v>
      </c>
      <c r="N182" s="38"/>
      <c r="O182" s="38"/>
      <c r="P182" s="1"/>
      <c r="Q182" s="40"/>
    </row>
    <row r="183" spans="2:17" ht="16.5" x14ac:dyDescent="0.3">
      <c r="B183" s="33">
        <v>179</v>
      </c>
      <c r="C183" s="34" t="s">
        <v>694</v>
      </c>
      <c r="D183" s="35" t="s">
        <v>711</v>
      </c>
      <c r="E183" s="34" t="s">
        <v>696</v>
      </c>
      <c r="F183" s="36" t="s">
        <v>890</v>
      </c>
      <c r="G183" s="36" t="s">
        <v>1295</v>
      </c>
      <c r="H183" s="37">
        <v>1539</v>
      </c>
      <c r="I183" s="36" t="s">
        <v>697</v>
      </c>
      <c r="J183" s="34" t="s">
        <v>698</v>
      </c>
      <c r="K183" s="38"/>
      <c r="L183" s="36" t="s">
        <v>695</v>
      </c>
      <c r="M183" s="36" t="s">
        <v>695</v>
      </c>
      <c r="N183" s="38"/>
      <c r="O183" s="38"/>
      <c r="P183" s="1"/>
      <c r="Q183" s="40"/>
    </row>
    <row r="184" spans="2:17" ht="16.5" x14ac:dyDescent="0.3">
      <c r="B184" s="33">
        <v>180</v>
      </c>
      <c r="C184" s="34" t="s">
        <v>694</v>
      </c>
      <c r="D184" s="35" t="s">
        <v>711</v>
      </c>
      <c r="E184" s="34" t="s">
        <v>696</v>
      </c>
      <c r="F184" s="36" t="s">
        <v>891</v>
      </c>
      <c r="G184" s="36" t="s">
        <v>1296</v>
      </c>
      <c r="H184" s="37">
        <v>1009</v>
      </c>
      <c r="I184" s="36" t="s">
        <v>697</v>
      </c>
      <c r="J184" s="34" t="s">
        <v>698</v>
      </c>
      <c r="K184" s="38"/>
      <c r="L184" s="36" t="s">
        <v>695</v>
      </c>
      <c r="M184" s="36" t="s">
        <v>695</v>
      </c>
      <c r="N184" s="38"/>
      <c r="O184" s="38"/>
      <c r="P184" s="1"/>
      <c r="Q184" s="40"/>
    </row>
    <row r="185" spans="2:17" ht="16.5" x14ac:dyDescent="0.3">
      <c r="B185" s="33">
        <v>181</v>
      </c>
      <c r="C185" s="34" t="s">
        <v>694</v>
      </c>
      <c r="D185" s="35" t="s">
        <v>711</v>
      </c>
      <c r="E185" s="34" t="s">
        <v>696</v>
      </c>
      <c r="F185" s="36" t="s">
        <v>892</v>
      </c>
      <c r="G185" s="36" t="s">
        <v>1297</v>
      </c>
      <c r="H185" s="37">
        <v>8226</v>
      </c>
      <c r="I185" s="36" t="s">
        <v>697</v>
      </c>
      <c r="J185" s="34" t="s">
        <v>698</v>
      </c>
      <c r="K185" s="38"/>
      <c r="L185" s="36" t="s">
        <v>695</v>
      </c>
      <c r="M185" s="36" t="s">
        <v>695</v>
      </c>
      <c r="N185" s="38"/>
      <c r="O185" s="38"/>
      <c r="P185" s="1"/>
      <c r="Q185" s="40"/>
    </row>
    <row r="186" spans="2:17" ht="16.5" x14ac:dyDescent="0.3">
      <c r="B186" s="33">
        <v>182</v>
      </c>
      <c r="C186" s="34" t="s">
        <v>694</v>
      </c>
      <c r="D186" s="35" t="s">
        <v>711</v>
      </c>
      <c r="E186" s="34" t="s">
        <v>696</v>
      </c>
      <c r="F186" s="36" t="s">
        <v>893</v>
      </c>
      <c r="G186" s="36" t="s">
        <v>1298</v>
      </c>
      <c r="H186" s="37">
        <v>6230</v>
      </c>
      <c r="I186" s="36" t="s">
        <v>697</v>
      </c>
      <c r="J186" s="34" t="s">
        <v>698</v>
      </c>
      <c r="K186" s="38"/>
      <c r="L186" s="36" t="s">
        <v>695</v>
      </c>
      <c r="M186" s="36" t="s">
        <v>695</v>
      </c>
      <c r="N186" s="38"/>
      <c r="O186" s="38"/>
      <c r="P186" s="1"/>
      <c r="Q186" s="40"/>
    </row>
    <row r="187" spans="2:17" ht="16.5" x14ac:dyDescent="0.3">
      <c r="B187" s="33">
        <v>183</v>
      </c>
      <c r="C187" s="34" t="s">
        <v>694</v>
      </c>
      <c r="D187" s="35" t="s">
        <v>711</v>
      </c>
      <c r="E187" s="34" t="s">
        <v>696</v>
      </c>
      <c r="F187" s="36" t="s">
        <v>894</v>
      </c>
      <c r="G187" s="36" t="s">
        <v>1299</v>
      </c>
      <c r="H187" s="37">
        <v>34592</v>
      </c>
      <c r="I187" s="36" t="s">
        <v>697</v>
      </c>
      <c r="J187" s="34" t="s">
        <v>698</v>
      </c>
      <c r="K187" s="38"/>
      <c r="L187" s="36" t="s">
        <v>695</v>
      </c>
      <c r="M187" s="36" t="s">
        <v>695</v>
      </c>
      <c r="N187" s="38"/>
      <c r="O187" s="38"/>
      <c r="P187" s="1"/>
      <c r="Q187" s="40"/>
    </row>
    <row r="188" spans="2:17" ht="16.5" x14ac:dyDescent="0.3">
      <c r="B188" s="33">
        <v>184</v>
      </c>
      <c r="C188" s="34" t="s">
        <v>694</v>
      </c>
      <c r="D188" s="35" t="s">
        <v>711</v>
      </c>
      <c r="E188" s="34" t="s">
        <v>696</v>
      </c>
      <c r="F188" s="36" t="s">
        <v>895</v>
      </c>
      <c r="G188" s="36" t="s">
        <v>1300</v>
      </c>
      <c r="H188" s="37">
        <v>1417</v>
      </c>
      <c r="I188" s="36" t="s">
        <v>697</v>
      </c>
      <c r="J188" s="34" t="s">
        <v>698</v>
      </c>
      <c r="K188" s="38"/>
      <c r="L188" s="36" t="s">
        <v>695</v>
      </c>
      <c r="M188" s="36" t="s">
        <v>695</v>
      </c>
      <c r="N188" s="38"/>
      <c r="O188" s="38"/>
      <c r="P188" s="1"/>
      <c r="Q188" s="40"/>
    </row>
    <row r="189" spans="2:17" ht="16.5" x14ac:dyDescent="0.3">
      <c r="B189" s="33">
        <v>185</v>
      </c>
      <c r="C189" s="34" t="s">
        <v>694</v>
      </c>
      <c r="D189" s="35" t="s">
        <v>711</v>
      </c>
      <c r="E189" s="34" t="s">
        <v>696</v>
      </c>
      <c r="F189" s="36" t="s">
        <v>896</v>
      </c>
      <c r="G189" s="36" t="s">
        <v>1301</v>
      </c>
      <c r="H189" s="37">
        <v>2450</v>
      </c>
      <c r="I189" s="36" t="s">
        <v>697</v>
      </c>
      <c r="J189" s="34" t="s">
        <v>698</v>
      </c>
      <c r="K189" s="38"/>
      <c r="L189" s="36" t="s">
        <v>695</v>
      </c>
      <c r="M189" s="36" t="s">
        <v>695</v>
      </c>
      <c r="N189" s="38"/>
      <c r="O189" s="38"/>
      <c r="P189" s="1"/>
      <c r="Q189" s="40"/>
    </row>
    <row r="190" spans="2:17" ht="16.5" x14ac:dyDescent="0.3">
      <c r="B190" s="33">
        <v>186</v>
      </c>
      <c r="C190" s="34" t="s">
        <v>694</v>
      </c>
      <c r="D190" s="35" t="s">
        <v>711</v>
      </c>
      <c r="E190" s="34" t="s">
        <v>696</v>
      </c>
      <c r="F190" s="36" t="s">
        <v>897</v>
      </c>
      <c r="G190" s="36" t="s">
        <v>1302</v>
      </c>
      <c r="H190" s="37">
        <v>1693</v>
      </c>
      <c r="I190" s="36" t="s">
        <v>697</v>
      </c>
      <c r="J190" s="34" t="s">
        <v>698</v>
      </c>
      <c r="K190" s="38"/>
      <c r="L190" s="36" t="s">
        <v>695</v>
      </c>
      <c r="M190" s="36" t="s">
        <v>695</v>
      </c>
      <c r="N190" s="38"/>
      <c r="O190" s="38"/>
      <c r="P190" s="1"/>
      <c r="Q190" s="40"/>
    </row>
    <row r="191" spans="2:17" ht="16.5" x14ac:dyDescent="0.3">
      <c r="B191" s="33">
        <v>187</v>
      </c>
      <c r="C191" s="34" t="s">
        <v>694</v>
      </c>
      <c r="D191" s="35" t="s">
        <v>711</v>
      </c>
      <c r="E191" s="34" t="s">
        <v>696</v>
      </c>
      <c r="F191" s="36" t="s">
        <v>898</v>
      </c>
      <c r="G191" s="36" t="s">
        <v>1303</v>
      </c>
      <c r="H191" s="37">
        <v>1381</v>
      </c>
      <c r="I191" s="36" t="s">
        <v>697</v>
      </c>
      <c r="J191" s="34" t="s">
        <v>698</v>
      </c>
      <c r="K191" s="38"/>
      <c r="L191" s="36" t="s">
        <v>695</v>
      </c>
      <c r="M191" s="36" t="s">
        <v>695</v>
      </c>
      <c r="N191" s="38"/>
      <c r="O191" s="38"/>
      <c r="P191" s="1"/>
      <c r="Q191" s="40"/>
    </row>
    <row r="192" spans="2:17" ht="16.5" x14ac:dyDescent="0.3">
      <c r="B192" s="33">
        <v>188</v>
      </c>
      <c r="C192" s="34" t="s">
        <v>694</v>
      </c>
      <c r="D192" s="35" t="s">
        <v>711</v>
      </c>
      <c r="E192" s="34" t="s">
        <v>696</v>
      </c>
      <c r="F192" s="36" t="s">
        <v>899</v>
      </c>
      <c r="G192" s="36" t="s">
        <v>1304</v>
      </c>
      <c r="H192" s="37">
        <v>1554</v>
      </c>
      <c r="I192" s="36" t="s">
        <v>697</v>
      </c>
      <c r="J192" s="34" t="s">
        <v>698</v>
      </c>
      <c r="K192" s="38"/>
      <c r="L192" s="36" t="s">
        <v>695</v>
      </c>
      <c r="M192" s="36" t="s">
        <v>695</v>
      </c>
      <c r="N192" s="38"/>
      <c r="O192" s="38"/>
      <c r="P192" s="1"/>
      <c r="Q192" s="40"/>
    </row>
    <row r="193" spans="2:17" ht="16.5" x14ac:dyDescent="0.3">
      <c r="B193" s="33">
        <v>189</v>
      </c>
      <c r="C193" s="34" t="s">
        <v>694</v>
      </c>
      <c r="D193" s="35" t="s">
        <v>711</v>
      </c>
      <c r="E193" s="34" t="s">
        <v>696</v>
      </c>
      <c r="F193" s="36" t="s">
        <v>900</v>
      </c>
      <c r="G193" s="36" t="s">
        <v>1305</v>
      </c>
      <c r="H193" s="37">
        <v>5550</v>
      </c>
      <c r="I193" s="36" t="s">
        <v>697</v>
      </c>
      <c r="J193" s="34" t="s">
        <v>698</v>
      </c>
      <c r="K193" s="38"/>
      <c r="L193" s="36" t="s">
        <v>695</v>
      </c>
      <c r="M193" s="36" t="s">
        <v>695</v>
      </c>
      <c r="N193" s="38"/>
      <c r="O193" s="38"/>
      <c r="P193" s="1"/>
      <c r="Q193" s="40"/>
    </row>
    <row r="194" spans="2:17" ht="16.5" x14ac:dyDescent="0.3">
      <c r="B194" s="33">
        <v>190</v>
      </c>
      <c r="C194" s="34" t="s">
        <v>694</v>
      </c>
      <c r="D194" s="35" t="s">
        <v>711</v>
      </c>
      <c r="E194" s="34" t="s">
        <v>696</v>
      </c>
      <c r="F194" s="36" t="s">
        <v>901</v>
      </c>
      <c r="G194" s="36" t="s">
        <v>1306</v>
      </c>
      <c r="H194" s="37">
        <v>116040</v>
      </c>
      <c r="I194" s="36" t="s">
        <v>697</v>
      </c>
      <c r="J194" s="34" t="s">
        <v>698</v>
      </c>
      <c r="K194" s="38"/>
      <c r="L194" s="36" t="s">
        <v>695</v>
      </c>
      <c r="M194" s="36" t="s">
        <v>695</v>
      </c>
      <c r="N194" s="38"/>
      <c r="O194" s="38"/>
      <c r="P194" s="1"/>
      <c r="Q194" s="40"/>
    </row>
    <row r="195" spans="2:17" ht="16.5" x14ac:dyDescent="0.3">
      <c r="B195" s="33">
        <v>191</v>
      </c>
      <c r="C195" s="34" t="s">
        <v>694</v>
      </c>
      <c r="D195" s="35" t="s">
        <v>711</v>
      </c>
      <c r="E195" s="34" t="s">
        <v>696</v>
      </c>
      <c r="F195" s="36" t="s">
        <v>902</v>
      </c>
      <c r="G195" s="36" t="s">
        <v>1307</v>
      </c>
      <c r="H195" s="37">
        <v>36655</v>
      </c>
      <c r="I195" s="36" t="s">
        <v>697</v>
      </c>
      <c r="J195" s="34" t="s">
        <v>698</v>
      </c>
      <c r="K195" s="38"/>
      <c r="L195" s="36" t="s">
        <v>695</v>
      </c>
      <c r="M195" s="36" t="s">
        <v>695</v>
      </c>
      <c r="N195" s="38"/>
      <c r="O195" s="38"/>
      <c r="P195" s="1"/>
      <c r="Q195" s="40"/>
    </row>
    <row r="196" spans="2:17" ht="16.5" x14ac:dyDescent="0.3">
      <c r="B196" s="33">
        <v>192</v>
      </c>
      <c r="C196" s="34" t="s">
        <v>694</v>
      </c>
      <c r="D196" s="35" t="s">
        <v>711</v>
      </c>
      <c r="E196" s="34" t="s">
        <v>696</v>
      </c>
      <c r="F196" s="36" t="s">
        <v>903</v>
      </c>
      <c r="G196" s="36" t="s">
        <v>1308</v>
      </c>
      <c r="H196" s="37">
        <v>32669</v>
      </c>
      <c r="I196" s="36" t="s">
        <v>697</v>
      </c>
      <c r="J196" s="34" t="s">
        <v>698</v>
      </c>
      <c r="K196" s="38"/>
      <c r="L196" s="36" t="s">
        <v>695</v>
      </c>
      <c r="M196" s="36" t="s">
        <v>695</v>
      </c>
      <c r="N196" s="38"/>
      <c r="O196" s="38"/>
      <c r="P196" s="1"/>
      <c r="Q196" s="40"/>
    </row>
    <row r="197" spans="2:17" ht="16.5" x14ac:dyDescent="0.3">
      <c r="B197" s="33">
        <v>193</v>
      </c>
      <c r="C197" s="34" t="s">
        <v>694</v>
      </c>
      <c r="D197" s="35" t="s">
        <v>711</v>
      </c>
      <c r="E197" s="34" t="s">
        <v>696</v>
      </c>
      <c r="F197" s="36" t="s">
        <v>904</v>
      </c>
      <c r="G197" s="36" t="s">
        <v>1309</v>
      </c>
      <c r="H197" s="37">
        <v>4655</v>
      </c>
      <c r="I197" s="36" t="s">
        <v>697</v>
      </c>
      <c r="J197" s="34" t="s">
        <v>698</v>
      </c>
      <c r="K197" s="38"/>
      <c r="L197" s="36" t="s">
        <v>695</v>
      </c>
      <c r="M197" s="36" t="s">
        <v>695</v>
      </c>
      <c r="N197" s="38"/>
      <c r="O197" s="38"/>
      <c r="P197" s="1"/>
      <c r="Q197" s="40"/>
    </row>
    <row r="198" spans="2:17" ht="16.5" x14ac:dyDescent="0.3">
      <c r="B198" s="33">
        <v>194</v>
      </c>
      <c r="C198" s="34" t="s">
        <v>694</v>
      </c>
      <c r="D198" s="35" t="s">
        <v>711</v>
      </c>
      <c r="E198" s="34" t="s">
        <v>696</v>
      </c>
      <c r="F198" s="36" t="s">
        <v>905</v>
      </c>
      <c r="G198" s="36" t="s">
        <v>1310</v>
      </c>
      <c r="H198" s="37">
        <v>18039</v>
      </c>
      <c r="I198" s="36" t="s">
        <v>697</v>
      </c>
      <c r="J198" s="34" t="s">
        <v>698</v>
      </c>
      <c r="K198" s="38"/>
      <c r="L198" s="36" t="s">
        <v>695</v>
      </c>
      <c r="M198" s="36" t="s">
        <v>695</v>
      </c>
      <c r="N198" s="38"/>
      <c r="O198" s="38"/>
      <c r="P198" s="1"/>
      <c r="Q198" s="40"/>
    </row>
    <row r="199" spans="2:17" ht="16.5" x14ac:dyDescent="0.3">
      <c r="B199" s="33">
        <v>195</v>
      </c>
      <c r="C199" s="34" t="s">
        <v>694</v>
      </c>
      <c r="D199" s="35" t="s">
        <v>711</v>
      </c>
      <c r="E199" s="34" t="s">
        <v>696</v>
      </c>
      <c r="F199" s="36" t="s">
        <v>906</v>
      </c>
      <c r="G199" s="36" t="s">
        <v>1311</v>
      </c>
      <c r="H199" s="37">
        <v>645</v>
      </c>
      <c r="I199" s="36" t="s">
        <v>697</v>
      </c>
      <c r="J199" s="34" t="s">
        <v>698</v>
      </c>
      <c r="K199" s="38"/>
      <c r="L199" s="36" t="s">
        <v>695</v>
      </c>
      <c r="M199" s="36" t="s">
        <v>695</v>
      </c>
      <c r="N199" s="38"/>
      <c r="O199" s="38"/>
      <c r="P199" s="1"/>
      <c r="Q199" s="40"/>
    </row>
    <row r="200" spans="2:17" ht="16.5" x14ac:dyDescent="0.3">
      <c r="B200" s="33">
        <v>196</v>
      </c>
      <c r="C200" s="34" t="s">
        <v>694</v>
      </c>
      <c r="D200" s="35" t="s">
        <v>711</v>
      </c>
      <c r="E200" s="34" t="s">
        <v>696</v>
      </c>
      <c r="F200" s="36" t="s">
        <v>907</v>
      </c>
      <c r="G200" s="36" t="s">
        <v>1312</v>
      </c>
      <c r="H200" s="37">
        <v>1097</v>
      </c>
      <c r="I200" s="36" t="s">
        <v>697</v>
      </c>
      <c r="J200" s="34" t="s">
        <v>698</v>
      </c>
      <c r="K200" s="38"/>
      <c r="L200" s="36" t="s">
        <v>695</v>
      </c>
      <c r="M200" s="36" t="s">
        <v>695</v>
      </c>
      <c r="N200" s="38"/>
      <c r="O200" s="38"/>
      <c r="P200" s="1"/>
      <c r="Q200" s="40"/>
    </row>
    <row r="201" spans="2:17" ht="16.5" x14ac:dyDescent="0.3">
      <c r="B201" s="33">
        <v>197</v>
      </c>
      <c r="C201" s="34" t="s">
        <v>694</v>
      </c>
      <c r="D201" s="35" t="s">
        <v>711</v>
      </c>
      <c r="E201" s="34" t="s">
        <v>696</v>
      </c>
      <c r="F201" s="36" t="s">
        <v>908</v>
      </c>
      <c r="G201" s="36" t="s">
        <v>1313</v>
      </c>
      <c r="H201" s="37">
        <v>3165</v>
      </c>
      <c r="I201" s="36" t="s">
        <v>697</v>
      </c>
      <c r="J201" s="34" t="s">
        <v>698</v>
      </c>
      <c r="K201" s="38"/>
      <c r="L201" s="36" t="s">
        <v>695</v>
      </c>
      <c r="M201" s="36" t="s">
        <v>695</v>
      </c>
      <c r="N201" s="38"/>
      <c r="O201" s="38"/>
      <c r="P201" s="1"/>
      <c r="Q201" s="40"/>
    </row>
    <row r="202" spans="2:17" ht="16.5" x14ac:dyDescent="0.3">
      <c r="B202" s="33">
        <v>198</v>
      </c>
      <c r="C202" s="34" t="s">
        <v>694</v>
      </c>
      <c r="D202" s="35" t="s">
        <v>711</v>
      </c>
      <c r="E202" s="34" t="s">
        <v>696</v>
      </c>
      <c r="F202" s="36" t="s">
        <v>909</v>
      </c>
      <c r="G202" s="36" t="s">
        <v>1314</v>
      </c>
      <c r="H202" s="37">
        <v>14707</v>
      </c>
      <c r="I202" s="36" t="s">
        <v>697</v>
      </c>
      <c r="J202" s="34" t="s">
        <v>698</v>
      </c>
      <c r="K202" s="38"/>
      <c r="L202" s="36" t="s">
        <v>695</v>
      </c>
      <c r="M202" s="36" t="s">
        <v>695</v>
      </c>
      <c r="N202" s="38"/>
      <c r="O202" s="38"/>
      <c r="P202" s="1"/>
      <c r="Q202" s="40"/>
    </row>
    <row r="203" spans="2:17" ht="16.5" x14ac:dyDescent="0.3">
      <c r="B203" s="33">
        <v>199</v>
      </c>
      <c r="C203" s="34" t="s">
        <v>694</v>
      </c>
      <c r="D203" s="35" t="s">
        <v>711</v>
      </c>
      <c r="E203" s="34" t="s">
        <v>696</v>
      </c>
      <c r="F203" s="36" t="s">
        <v>910</v>
      </c>
      <c r="G203" s="36" t="s">
        <v>1315</v>
      </c>
      <c r="H203" s="37">
        <v>1216</v>
      </c>
      <c r="I203" s="36" t="s">
        <v>697</v>
      </c>
      <c r="J203" s="34" t="s">
        <v>698</v>
      </c>
      <c r="K203" s="38"/>
      <c r="L203" s="36" t="s">
        <v>695</v>
      </c>
      <c r="M203" s="36" t="s">
        <v>695</v>
      </c>
      <c r="N203" s="38"/>
      <c r="O203" s="38"/>
      <c r="P203" s="1"/>
      <c r="Q203" s="40"/>
    </row>
    <row r="204" spans="2:17" ht="16.5" x14ac:dyDescent="0.3">
      <c r="B204" s="33">
        <v>200</v>
      </c>
      <c r="C204" s="34" t="s">
        <v>694</v>
      </c>
      <c r="D204" s="35" t="s">
        <v>711</v>
      </c>
      <c r="E204" s="34" t="s">
        <v>696</v>
      </c>
      <c r="F204" s="36" t="s">
        <v>911</v>
      </c>
      <c r="G204" s="36" t="s">
        <v>1316</v>
      </c>
      <c r="H204" s="37">
        <v>1157</v>
      </c>
      <c r="I204" s="36" t="s">
        <v>697</v>
      </c>
      <c r="J204" s="34" t="s">
        <v>698</v>
      </c>
      <c r="K204" s="38"/>
      <c r="L204" s="36" t="s">
        <v>695</v>
      </c>
      <c r="M204" s="36" t="s">
        <v>695</v>
      </c>
      <c r="N204" s="38"/>
      <c r="O204" s="38"/>
      <c r="P204" s="1"/>
      <c r="Q204" s="40"/>
    </row>
    <row r="205" spans="2:17" ht="16.5" x14ac:dyDescent="0.3">
      <c r="B205" s="33">
        <v>201</v>
      </c>
      <c r="C205" s="34" t="s">
        <v>694</v>
      </c>
      <c r="D205" s="35" t="s">
        <v>711</v>
      </c>
      <c r="E205" s="34" t="s">
        <v>696</v>
      </c>
      <c r="F205" s="36" t="s">
        <v>912</v>
      </c>
      <c r="G205" s="36" t="s">
        <v>1317</v>
      </c>
      <c r="H205" s="37">
        <v>28618</v>
      </c>
      <c r="I205" s="36" t="s">
        <v>697</v>
      </c>
      <c r="J205" s="34" t="s">
        <v>698</v>
      </c>
      <c r="K205" s="38"/>
      <c r="L205" s="36" t="s">
        <v>695</v>
      </c>
      <c r="M205" s="36" t="s">
        <v>695</v>
      </c>
      <c r="N205" s="38"/>
      <c r="O205" s="38"/>
      <c r="P205" s="1"/>
      <c r="Q205" s="40"/>
    </row>
    <row r="206" spans="2:17" ht="16.5" x14ac:dyDescent="0.3">
      <c r="B206" s="33">
        <v>202</v>
      </c>
      <c r="C206" s="34" t="s">
        <v>694</v>
      </c>
      <c r="D206" s="35" t="s">
        <v>711</v>
      </c>
      <c r="E206" s="34" t="s">
        <v>696</v>
      </c>
      <c r="F206" s="36" t="s">
        <v>913</v>
      </c>
      <c r="G206" s="36" t="s">
        <v>1318</v>
      </c>
      <c r="H206" s="37">
        <v>3119</v>
      </c>
      <c r="I206" s="36" t="s">
        <v>697</v>
      </c>
      <c r="J206" s="34" t="s">
        <v>698</v>
      </c>
      <c r="K206" s="38"/>
      <c r="L206" s="36" t="s">
        <v>695</v>
      </c>
      <c r="M206" s="36" t="s">
        <v>695</v>
      </c>
      <c r="N206" s="38"/>
      <c r="O206" s="38"/>
      <c r="P206" s="1"/>
      <c r="Q206" s="40"/>
    </row>
    <row r="207" spans="2:17" ht="16.5" x14ac:dyDescent="0.3">
      <c r="B207" s="33">
        <v>203</v>
      </c>
      <c r="C207" s="34" t="s">
        <v>694</v>
      </c>
      <c r="D207" s="35" t="s">
        <v>711</v>
      </c>
      <c r="E207" s="34" t="s">
        <v>696</v>
      </c>
      <c r="F207" s="36" t="s">
        <v>914</v>
      </c>
      <c r="G207" s="36" t="s">
        <v>1319</v>
      </c>
      <c r="H207" s="37">
        <v>1692</v>
      </c>
      <c r="I207" s="36" t="s">
        <v>697</v>
      </c>
      <c r="J207" s="34" t="s">
        <v>698</v>
      </c>
      <c r="K207" s="38"/>
      <c r="L207" s="36" t="s">
        <v>695</v>
      </c>
      <c r="M207" s="36" t="s">
        <v>695</v>
      </c>
      <c r="N207" s="38"/>
      <c r="O207" s="38"/>
      <c r="P207" s="1"/>
      <c r="Q207" s="40"/>
    </row>
    <row r="208" spans="2:17" ht="16.5" x14ac:dyDescent="0.3">
      <c r="B208" s="33">
        <v>204</v>
      </c>
      <c r="C208" s="34" t="s">
        <v>694</v>
      </c>
      <c r="D208" s="35" t="s">
        <v>711</v>
      </c>
      <c r="E208" s="34" t="s">
        <v>696</v>
      </c>
      <c r="F208" s="36" t="s">
        <v>915</v>
      </c>
      <c r="G208" s="36" t="s">
        <v>1320</v>
      </c>
      <c r="H208" s="37">
        <v>1140</v>
      </c>
      <c r="I208" s="36" t="s">
        <v>697</v>
      </c>
      <c r="J208" s="34" t="s">
        <v>698</v>
      </c>
      <c r="K208" s="38"/>
      <c r="L208" s="36" t="s">
        <v>695</v>
      </c>
      <c r="M208" s="36" t="s">
        <v>695</v>
      </c>
      <c r="N208" s="38"/>
      <c r="O208" s="38"/>
      <c r="P208" s="1"/>
      <c r="Q208" s="40"/>
    </row>
    <row r="209" spans="2:17" ht="16.5" x14ac:dyDescent="0.3">
      <c r="B209" s="33">
        <v>205</v>
      </c>
      <c r="C209" s="34" t="s">
        <v>694</v>
      </c>
      <c r="D209" s="35" t="s">
        <v>711</v>
      </c>
      <c r="E209" s="34" t="s">
        <v>696</v>
      </c>
      <c r="F209" s="36" t="s">
        <v>916</v>
      </c>
      <c r="G209" s="36" t="s">
        <v>1321</v>
      </c>
      <c r="H209" s="37">
        <v>5101</v>
      </c>
      <c r="I209" s="36" t="s">
        <v>697</v>
      </c>
      <c r="J209" s="34" t="s">
        <v>698</v>
      </c>
      <c r="K209" s="38"/>
      <c r="L209" s="36" t="s">
        <v>695</v>
      </c>
      <c r="M209" s="36" t="s">
        <v>695</v>
      </c>
      <c r="N209" s="38"/>
      <c r="O209" s="38"/>
      <c r="P209" s="1"/>
      <c r="Q209" s="40"/>
    </row>
    <row r="210" spans="2:17" ht="16.5" x14ac:dyDescent="0.3">
      <c r="B210" s="33">
        <v>206</v>
      </c>
      <c r="C210" s="34" t="s">
        <v>694</v>
      </c>
      <c r="D210" s="35" t="s">
        <v>711</v>
      </c>
      <c r="E210" s="34" t="s">
        <v>696</v>
      </c>
      <c r="F210" s="36" t="s">
        <v>917</v>
      </c>
      <c r="G210" s="36" t="s">
        <v>1321</v>
      </c>
      <c r="H210" s="37">
        <v>5101</v>
      </c>
      <c r="I210" s="36" t="s">
        <v>697</v>
      </c>
      <c r="J210" s="34" t="s">
        <v>698</v>
      </c>
      <c r="K210" s="38"/>
      <c r="L210" s="36" t="s">
        <v>695</v>
      </c>
      <c r="M210" s="36" t="s">
        <v>695</v>
      </c>
      <c r="N210" s="38"/>
      <c r="O210" s="38"/>
      <c r="P210" s="1"/>
      <c r="Q210" s="40"/>
    </row>
    <row r="211" spans="2:17" ht="16.5" x14ac:dyDescent="0.3">
      <c r="B211" s="33">
        <v>207</v>
      </c>
      <c r="C211" s="34" t="s">
        <v>694</v>
      </c>
      <c r="D211" s="35" t="s">
        <v>711</v>
      </c>
      <c r="E211" s="34" t="s">
        <v>696</v>
      </c>
      <c r="F211" s="36" t="s">
        <v>918</v>
      </c>
      <c r="G211" s="36" t="s">
        <v>1322</v>
      </c>
      <c r="H211" s="37">
        <v>2549</v>
      </c>
      <c r="I211" s="36" t="s">
        <v>697</v>
      </c>
      <c r="J211" s="34" t="s">
        <v>698</v>
      </c>
      <c r="K211" s="38"/>
      <c r="L211" s="36" t="s">
        <v>695</v>
      </c>
      <c r="M211" s="36" t="s">
        <v>695</v>
      </c>
      <c r="N211" s="38"/>
      <c r="O211" s="38"/>
      <c r="P211" s="1"/>
      <c r="Q211" s="40"/>
    </row>
    <row r="212" spans="2:17" ht="16.5" x14ac:dyDescent="0.3">
      <c r="B212" s="33">
        <v>208</v>
      </c>
      <c r="C212" s="34" t="s">
        <v>694</v>
      </c>
      <c r="D212" s="35" t="s">
        <v>711</v>
      </c>
      <c r="E212" s="34" t="s">
        <v>696</v>
      </c>
      <c r="F212" s="36" t="s">
        <v>919</v>
      </c>
      <c r="G212" s="36" t="s">
        <v>1323</v>
      </c>
      <c r="H212" s="37">
        <v>5418</v>
      </c>
      <c r="I212" s="36" t="s">
        <v>697</v>
      </c>
      <c r="J212" s="34" t="s">
        <v>698</v>
      </c>
      <c r="K212" s="38"/>
      <c r="L212" s="36" t="s">
        <v>695</v>
      </c>
      <c r="M212" s="36" t="s">
        <v>695</v>
      </c>
      <c r="N212" s="38"/>
      <c r="O212" s="38"/>
      <c r="P212" s="1"/>
      <c r="Q212" s="40"/>
    </row>
    <row r="213" spans="2:17" ht="16.5" x14ac:dyDescent="0.3">
      <c r="B213" s="33">
        <v>209</v>
      </c>
      <c r="C213" s="34" t="s">
        <v>694</v>
      </c>
      <c r="D213" s="35" t="s">
        <v>711</v>
      </c>
      <c r="E213" s="34" t="s">
        <v>696</v>
      </c>
      <c r="F213" s="36" t="s">
        <v>920</v>
      </c>
      <c r="G213" s="36" t="s">
        <v>1324</v>
      </c>
      <c r="H213" s="37">
        <v>1016</v>
      </c>
      <c r="I213" s="36" t="s">
        <v>697</v>
      </c>
      <c r="J213" s="34" t="s">
        <v>698</v>
      </c>
      <c r="K213" s="38"/>
      <c r="L213" s="36" t="s">
        <v>695</v>
      </c>
      <c r="M213" s="36" t="s">
        <v>695</v>
      </c>
      <c r="N213" s="38"/>
      <c r="O213" s="38"/>
      <c r="P213" s="1"/>
      <c r="Q213" s="40"/>
    </row>
    <row r="214" spans="2:17" ht="16.5" x14ac:dyDescent="0.3">
      <c r="B214" s="33">
        <v>210</v>
      </c>
      <c r="C214" s="34" t="s">
        <v>694</v>
      </c>
      <c r="D214" s="35" t="s">
        <v>711</v>
      </c>
      <c r="E214" s="34" t="s">
        <v>696</v>
      </c>
      <c r="F214" s="36" t="s">
        <v>921</v>
      </c>
      <c r="G214" s="36" t="s">
        <v>1325</v>
      </c>
      <c r="H214" s="37">
        <v>45608</v>
      </c>
      <c r="I214" s="36" t="s">
        <v>697</v>
      </c>
      <c r="J214" s="34" t="s">
        <v>698</v>
      </c>
      <c r="K214" s="38"/>
      <c r="L214" s="36" t="s">
        <v>695</v>
      </c>
      <c r="M214" s="36" t="s">
        <v>695</v>
      </c>
      <c r="N214" s="38"/>
      <c r="O214" s="38"/>
      <c r="P214" s="1"/>
      <c r="Q214" s="40"/>
    </row>
    <row r="215" spans="2:17" ht="16.5" x14ac:dyDescent="0.3">
      <c r="B215" s="33">
        <v>211</v>
      </c>
      <c r="C215" s="34" t="s">
        <v>694</v>
      </c>
      <c r="D215" s="35" t="s">
        <v>711</v>
      </c>
      <c r="E215" s="34" t="s">
        <v>696</v>
      </c>
      <c r="F215" s="36" t="s">
        <v>922</v>
      </c>
      <c r="G215" s="36" t="s">
        <v>1326</v>
      </c>
      <c r="H215" s="37">
        <v>595</v>
      </c>
      <c r="I215" s="36" t="s">
        <v>697</v>
      </c>
      <c r="J215" s="34" t="s">
        <v>698</v>
      </c>
      <c r="K215" s="38"/>
      <c r="L215" s="36" t="s">
        <v>695</v>
      </c>
      <c r="M215" s="36" t="s">
        <v>695</v>
      </c>
      <c r="N215" s="38"/>
      <c r="O215" s="38"/>
      <c r="P215" s="1"/>
      <c r="Q215" s="40"/>
    </row>
    <row r="216" spans="2:17" ht="16.5" x14ac:dyDescent="0.3">
      <c r="B216" s="33">
        <v>212</v>
      </c>
      <c r="C216" s="34" t="s">
        <v>694</v>
      </c>
      <c r="D216" s="35" t="s">
        <v>711</v>
      </c>
      <c r="E216" s="34" t="s">
        <v>696</v>
      </c>
      <c r="F216" s="36" t="s">
        <v>923</v>
      </c>
      <c r="G216" s="36" t="s">
        <v>1327</v>
      </c>
      <c r="H216" s="37">
        <v>564</v>
      </c>
      <c r="I216" s="36" t="s">
        <v>697</v>
      </c>
      <c r="J216" s="34" t="s">
        <v>698</v>
      </c>
      <c r="K216" s="38"/>
      <c r="L216" s="36" t="s">
        <v>695</v>
      </c>
      <c r="M216" s="36" t="s">
        <v>695</v>
      </c>
      <c r="N216" s="38"/>
      <c r="O216" s="38"/>
      <c r="P216" s="1"/>
      <c r="Q216" s="40"/>
    </row>
    <row r="217" spans="2:17" ht="16.5" x14ac:dyDescent="0.3">
      <c r="B217" s="33">
        <v>213</v>
      </c>
      <c r="C217" s="34" t="s">
        <v>694</v>
      </c>
      <c r="D217" s="35" t="s">
        <v>711</v>
      </c>
      <c r="E217" s="34" t="s">
        <v>696</v>
      </c>
      <c r="F217" s="36" t="s">
        <v>924</v>
      </c>
      <c r="G217" s="36" t="s">
        <v>1327</v>
      </c>
      <c r="H217" s="37">
        <v>564</v>
      </c>
      <c r="I217" s="36" t="s">
        <v>697</v>
      </c>
      <c r="J217" s="34" t="s">
        <v>698</v>
      </c>
      <c r="K217" s="38"/>
      <c r="L217" s="36" t="s">
        <v>695</v>
      </c>
      <c r="M217" s="36" t="s">
        <v>695</v>
      </c>
      <c r="N217" s="38"/>
      <c r="O217" s="38"/>
      <c r="P217" s="1"/>
      <c r="Q217" s="40"/>
    </row>
    <row r="218" spans="2:17" ht="16.5" x14ac:dyDescent="0.3">
      <c r="B218" s="33">
        <v>214</v>
      </c>
      <c r="C218" s="34" t="s">
        <v>694</v>
      </c>
      <c r="D218" s="35" t="s">
        <v>711</v>
      </c>
      <c r="E218" s="34" t="s">
        <v>696</v>
      </c>
      <c r="F218" s="36" t="s">
        <v>925</v>
      </c>
      <c r="G218" s="36" t="s">
        <v>1328</v>
      </c>
      <c r="H218" s="37">
        <v>1214</v>
      </c>
      <c r="I218" s="36" t="s">
        <v>697</v>
      </c>
      <c r="J218" s="34" t="s">
        <v>698</v>
      </c>
      <c r="K218" s="38"/>
      <c r="L218" s="36" t="s">
        <v>695</v>
      </c>
      <c r="M218" s="36" t="s">
        <v>695</v>
      </c>
      <c r="N218" s="38"/>
      <c r="O218" s="38"/>
      <c r="P218" s="1"/>
      <c r="Q218" s="40"/>
    </row>
    <row r="219" spans="2:17" ht="16.5" x14ac:dyDescent="0.3">
      <c r="B219" s="33">
        <v>215</v>
      </c>
      <c r="C219" s="34" t="s">
        <v>694</v>
      </c>
      <c r="D219" s="35" t="s">
        <v>711</v>
      </c>
      <c r="E219" s="34" t="s">
        <v>696</v>
      </c>
      <c r="F219" s="36" t="s">
        <v>926</v>
      </c>
      <c r="G219" s="36" t="s">
        <v>1329</v>
      </c>
      <c r="H219" s="37">
        <v>4335</v>
      </c>
      <c r="I219" s="36" t="s">
        <v>697</v>
      </c>
      <c r="J219" s="34" t="s">
        <v>698</v>
      </c>
      <c r="K219" s="38"/>
      <c r="L219" s="36" t="s">
        <v>695</v>
      </c>
      <c r="M219" s="36" t="s">
        <v>695</v>
      </c>
      <c r="N219" s="38"/>
      <c r="O219" s="38"/>
      <c r="P219" s="1"/>
      <c r="Q219" s="40"/>
    </row>
    <row r="220" spans="2:17" ht="16.5" x14ac:dyDescent="0.3">
      <c r="B220" s="33">
        <v>216</v>
      </c>
      <c r="C220" s="34" t="s">
        <v>694</v>
      </c>
      <c r="D220" s="35" t="s">
        <v>711</v>
      </c>
      <c r="E220" s="34" t="s">
        <v>696</v>
      </c>
      <c r="F220" s="36" t="s">
        <v>927</v>
      </c>
      <c r="G220" s="36" t="s">
        <v>1330</v>
      </c>
      <c r="H220" s="37">
        <v>16840</v>
      </c>
      <c r="I220" s="36" t="s">
        <v>697</v>
      </c>
      <c r="J220" s="34" t="s">
        <v>698</v>
      </c>
      <c r="K220" s="38"/>
      <c r="L220" s="36" t="s">
        <v>695</v>
      </c>
      <c r="M220" s="36" t="s">
        <v>695</v>
      </c>
      <c r="N220" s="38"/>
      <c r="O220" s="38"/>
      <c r="P220" s="1"/>
      <c r="Q220" s="40"/>
    </row>
    <row r="221" spans="2:17" ht="16.5" x14ac:dyDescent="0.3">
      <c r="B221" s="33">
        <v>217</v>
      </c>
      <c r="C221" s="34" t="s">
        <v>694</v>
      </c>
      <c r="D221" s="35" t="s">
        <v>711</v>
      </c>
      <c r="E221" s="34" t="s">
        <v>696</v>
      </c>
      <c r="F221" s="36" t="s">
        <v>928</v>
      </c>
      <c r="G221" s="36" t="s">
        <v>1331</v>
      </c>
      <c r="H221" s="37">
        <v>2000</v>
      </c>
      <c r="I221" s="36" t="s">
        <v>697</v>
      </c>
      <c r="J221" s="34" t="s">
        <v>698</v>
      </c>
      <c r="K221" s="38"/>
      <c r="L221" s="36" t="s">
        <v>695</v>
      </c>
      <c r="M221" s="36" t="s">
        <v>695</v>
      </c>
      <c r="N221" s="38"/>
      <c r="O221" s="38"/>
      <c r="P221" s="1"/>
      <c r="Q221" s="40"/>
    </row>
    <row r="222" spans="2:17" ht="16.5" x14ac:dyDescent="0.3">
      <c r="B222" s="33">
        <v>218</v>
      </c>
      <c r="C222" s="34" t="s">
        <v>694</v>
      </c>
      <c r="D222" s="35" t="s">
        <v>711</v>
      </c>
      <c r="E222" s="34" t="s">
        <v>696</v>
      </c>
      <c r="F222" s="36" t="s">
        <v>929</v>
      </c>
      <c r="G222" s="36" t="s">
        <v>1332</v>
      </c>
      <c r="H222" s="37">
        <v>6067</v>
      </c>
      <c r="I222" s="36" t="s">
        <v>697</v>
      </c>
      <c r="J222" s="34" t="s">
        <v>698</v>
      </c>
      <c r="K222" s="38"/>
      <c r="L222" s="36" t="s">
        <v>695</v>
      </c>
      <c r="M222" s="36" t="s">
        <v>695</v>
      </c>
      <c r="N222" s="38"/>
      <c r="O222" s="38"/>
      <c r="P222" s="1"/>
      <c r="Q222" s="40"/>
    </row>
    <row r="223" spans="2:17" ht="16.5" x14ac:dyDescent="0.3">
      <c r="B223" s="33">
        <v>219</v>
      </c>
      <c r="C223" s="34" t="s">
        <v>694</v>
      </c>
      <c r="D223" s="35" t="s">
        <v>711</v>
      </c>
      <c r="E223" s="34" t="s">
        <v>696</v>
      </c>
      <c r="F223" s="36" t="s">
        <v>930</v>
      </c>
      <c r="G223" s="36" t="s">
        <v>703</v>
      </c>
      <c r="H223" s="37">
        <v>150</v>
      </c>
      <c r="I223" s="36" t="s">
        <v>697</v>
      </c>
      <c r="J223" s="34" t="s">
        <v>698</v>
      </c>
      <c r="K223" s="38"/>
      <c r="L223" s="36" t="s">
        <v>695</v>
      </c>
      <c r="M223" s="36" t="s">
        <v>695</v>
      </c>
      <c r="N223" s="38"/>
      <c r="O223" s="38"/>
      <c r="P223" s="1"/>
      <c r="Q223" s="40"/>
    </row>
    <row r="224" spans="2:17" ht="16.5" x14ac:dyDescent="0.3">
      <c r="B224" s="33">
        <v>220</v>
      </c>
      <c r="C224" s="34" t="s">
        <v>694</v>
      </c>
      <c r="D224" s="35" t="s">
        <v>711</v>
      </c>
      <c r="E224" s="34" t="s">
        <v>696</v>
      </c>
      <c r="F224" s="36" t="s">
        <v>931</v>
      </c>
      <c r="G224" s="36" t="s">
        <v>1333</v>
      </c>
      <c r="H224" s="37">
        <v>1393</v>
      </c>
      <c r="I224" s="36" t="s">
        <v>697</v>
      </c>
      <c r="J224" s="34" t="s">
        <v>698</v>
      </c>
      <c r="K224" s="38"/>
      <c r="L224" s="36" t="s">
        <v>695</v>
      </c>
      <c r="M224" s="36" t="s">
        <v>695</v>
      </c>
      <c r="N224" s="38"/>
      <c r="O224" s="38"/>
      <c r="P224" s="1"/>
      <c r="Q224" s="40"/>
    </row>
    <row r="225" spans="2:17" ht="16.5" x14ac:dyDescent="0.3">
      <c r="B225" s="33">
        <v>221</v>
      </c>
      <c r="C225" s="34" t="s">
        <v>694</v>
      </c>
      <c r="D225" s="35" t="s">
        <v>711</v>
      </c>
      <c r="E225" s="34" t="s">
        <v>696</v>
      </c>
      <c r="F225" s="36" t="s">
        <v>932</v>
      </c>
      <c r="G225" s="36" t="s">
        <v>1334</v>
      </c>
      <c r="H225" s="37">
        <v>2000</v>
      </c>
      <c r="I225" s="36" t="s">
        <v>697</v>
      </c>
      <c r="J225" s="34" t="s">
        <v>698</v>
      </c>
      <c r="K225" s="38"/>
      <c r="L225" s="36" t="s">
        <v>695</v>
      </c>
      <c r="M225" s="36" t="s">
        <v>695</v>
      </c>
      <c r="N225" s="38"/>
      <c r="O225" s="38"/>
      <c r="P225" s="1"/>
      <c r="Q225" s="40"/>
    </row>
    <row r="226" spans="2:17" ht="16.5" x14ac:dyDescent="0.3">
      <c r="B226" s="33">
        <v>222</v>
      </c>
      <c r="C226" s="34" t="s">
        <v>694</v>
      </c>
      <c r="D226" s="35" t="s">
        <v>711</v>
      </c>
      <c r="E226" s="34" t="s">
        <v>696</v>
      </c>
      <c r="F226" s="36" t="s">
        <v>933</v>
      </c>
      <c r="G226" s="36" t="s">
        <v>1335</v>
      </c>
      <c r="H226" s="37">
        <v>2189</v>
      </c>
      <c r="I226" s="36" t="s">
        <v>697</v>
      </c>
      <c r="J226" s="34" t="s">
        <v>698</v>
      </c>
      <c r="K226" s="38"/>
      <c r="L226" s="36" t="s">
        <v>695</v>
      </c>
      <c r="M226" s="36" t="s">
        <v>695</v>
      </c>
      <c r="N226" s="38"/>
      <c r="O226" s="38"/>
      <c r="P226" s="1"/>
      <c r="Q226" s="40"/>
    </row>
    <row r="227" spans="2:17" ht="16.5" x14ac:dyDescent="0.3">
      <c r="B227" s="33">
        <v>223</v>
      </c>
      <c r="C227" s="34" t="s">
        <v>694</v>
      </c>
      <c r="D227" s="35" t="s">
        <v>711</v>
      </c>
      <c r="E227" s="34" t="s">
        <v>696</v>
      </c>
      <c r="F227" s="36" t="s">
        <v>934</v>
      </c>
      <c r="G227" s="36" t="s">
        <v>1336</v>
      </c>
      <c r="H227" s="37">
        <v>3175</v>
      </c>
      <c r="I227" s="36" t="s">
        <v>697</v>
      </c>
      <c r="J227" s="34" t="s">
        <v>698</v>
      </c>
      <c r="K227" s="38"/>
      <c r="L227" s="36" t="s">
        <v>695</v>
      </c>
      <c r="M227" s="36" t="s">
        <v>695</v>
      </c>
      <c r="N227" s="38"/>
      <c r="O227" s="38"/>
      <c r="P227" s="1"/>
      <c r="Q227" s="40"/>
    </row>
    <row r="228" spans="2:17" ht="16.5" x14ac:dyDescent="0.3">
      <c r="B228" s="33">
        <v>224</v>
      </c>
      <c r="C228" s="34" t="s">
        <v>694</v>
      </c>
      <c r="D228" s="35" t="s">
        <v>711</v>
      </c>
      <c r="E228" s="34" t="s">
        <v>696</v>
      </c>
      <c r="F228" s="36" t="s">
        <v>935</v>
      </c>
      <c r="G228" s="36" t="s">
        <v>704</v>
      </c>
      <c r="H228" s="37">
        <v>3289</v>
      </c>
      <c r="I228" s="36" t="s">
        <v>697</v>
      </c>
      <c r="J228" s="34" t="s">
        <v>698</v>
      </c>
      <c r="K228" s="38"/>
      <c r="L228" s="36" t="s">
        <v>695</v>
      </c>
      <c r="M228" s="36" t="s">
        <v>695</v>
      </c>
      <c r="N228" s="38"/>
      <c r="O228" s="38"/>
      <c r="P228" s="1"/>
      <c r="Q228" s="40"/>
    </row>
    <row r="229" spans="2:17" ht="16.5" x14ac:dyDescent="0.3">
      <c r="B229" s="33">
        <v>225</v>
      </c>
      <c r="C229" s="34" t="s">
        <v>694</v>
      </c>
      <c r="D229" s="35" t="s">
        <v>711</v>
      </c>
      <c r="E229" s="34" t="s">
        <v>696</v>
      </c>
      <c r="F229" s="36" t="s">
        <v>936</v>
      </c>
      <c r="G229" s="36" t="s">
        <v>1337</v>
      </c>
      <c r="H229" s="37">
        <v>6050</v>
      </c>
      <c r="I229" s="36" t="s">
        <v>697</v>
      </c>
      <c r="J229" s="34" t="s">
        <v>698</v>
      </c>
      <c r="K229" s="38"/>
      <c r="L229" s="36" t="s">
        <v>695</v>
      </c>
      <c r="M229" s="36" t="s">
        <v>695</v>
      </c>
      <c r="N229" s="38"/>
      <c r="O229" s="38"/>
      <c r="P229" s="1"/>
      <c r="Q229" s="40"/>
    </row>
    <row r="230" spans="2:17" ht="16.5" x14ac:dyDescent="0.3">
      <c r="B230" s="33">
        <v>226</v>
      </c>
      <c r="C230" s="34" t="s">
        <v>694</v>
      </c>
      <c r="D230" s="35" t="s">
        <v>711</v>
      </c>
      <c r="E230" s="34" t="s">
        <v>696</v>
      </c>
      <c r="F230" s="36" t="s">
        <v>937</v>
      </c>
      <c r="G230" s="36" t="s">
        <v>1338</v>
      </c>
      <c r="H230" s="37">
        <v>2000</v>
      </c>
      <c r="I230" s="36" t="s">
        <v>697</v>
      </c>
      <c r="J230" s="34" t="s">
        <v>698</v>
      </c>
      <c r="K230" s="38"/>
      <c r="L230" s="36" t="s">
        <v>695</v>
      </c>
      <c r="M230" s="36" t="s">
        <v>695</v>
      </c>
      <c r="N230" s="38"/>
      <c r="O230" s="38"/>
      <c r="P230" s="1"/>
      <c r="Q230" s="40"/>
    </row>
    <row r="231" spans="2:17" ht="16.5" x14ac:dyDescent="0.3">
      <c r="B231" s="33">
        <v>227</v>
      </c>
      <c r="C231" s="34" t="s">
        <v>694</v>
      </c>
      <c r="D231" s="35" t="s">
        <v>711</v>
      </c>
      <c r="E231" s="34" t="s">
        <v>696</v>
      </c>
      <c r="F231" s="36" t="s">
        <v>938</v>
      </c>
      <c r="G231" s="36" t="s">
        <v>1339</v>
      </c>
      <c r="H231" s="37">
        <v>2042</v>
      </c>
      <c r="I231" s="36" t="s">
        <v>697</v>
      </c>
      <c r="J231" s="34" t="s">
        <v>698</v>
      </c>
      <c r="K231" s="38"/>
      <c r="L231" s="36" t="s">
        <v>695</v>
      </c>
      <c r="M231" s="36" t="s">
        <v>695</v>
      </c>
      <c r="N231" s="38"/>
      <c r="O231" s="38"/>
      <c r="P231" s="1"/>
      <c r="Q231" s="40"/>
    </row>
    <row r="232" spans="2:17" ht="16.5" x14ac:dyDescent="0.3">
      <c r="B232" s="33">
        <v>228</v>
      </c>
      <c r="C232" s="34" t="s">
        <v>694</v>
      </c>
      <c r="D232" s="35" t="s">
        <v>711</v>
      </c>
      <c r="E232" s="34" t="s">
        <v>696</v>
      </c>
      <c r="F232" s="36" t="s">
        <v>939</v>
      </c>
      <c r="G232" s="36" t="s">
        <v>1340</v>
      </c>
      <c r="H232" s="37">
        <v>2000</v>
      </c>
      <c r="I232" s="36" t="s">
        <v>697</v>
      </c>
      <c r="J232" s="34" t="s">
        <v>698</v>
      </c>
      <c r="K232" s="38"/>
      <c r="L232" s="36" t="s">
        <v>695</v>
      </c>
      <c r="M232" s="36" t="s">
        <v>695</v>
      </c>
      <c r="N232" s="38"/>
      <c r="O232" s="38"/>
      <c r="P232" s="1"/>
      <c r="Q232" s="40"/>
    </row>
    <row r="233" spans="2:17" ht="16.5" x14ac:dyDescent="0.3">
      <c r="B233" s="33">
        <v>229</v>
      </c>
      <c r="C233" s="34" t="s">
        <v>694</v>
      </c>
      <c r="D233" s="35" t="s">
        <v>711</v>
      </c>
      <c r="E233" s="34" t="s">
        <v>696</v>
      </c>
      <c r="F233" s="36" t="s">
        <v>940</v>
      </c>
      <c r="G233" s="36" t="s">
        <v>1341</v>
      </c>
      <c r="H233" s="37">
        <v>2152</v>
      </c>
      <c r="I233" s="36" t="s">
        <v>697</v>
      </c>
      <c r="J233" s="34" t="s">
        <v>698</v>
      </c>
      <c r="K233" s="38"/>
      <c r="L233" s="36" t="s">
        <v>695</v>
      </c>
      <c r="M233" s="36" t="s">
        <v>695</v>
      </c>
      <c r="N233" s="38"/>
      <c r="O233" s="38"/>
      <c r="P233" s="1"/>
      <c r="Q233" s="40"/>
    </row>
    <row r="234" spans="2:17" ht="16.5" x14ac:dyDescent="0.3">
      <c r="B234" s="33">
        <v>230</v>
      </c>
      <c r="C234" s="34" t="s">
        <v>694</v>
      </c>
      <c r="D234" s="35" t="s">
        <v>711</v>
      </c>
      <c r="E234" s="34" t="s">
        <v>696</v>
      </c>
      <c r="F234" s="36" t="s">
        <v>941</v>
      </c>
      <c r="G234" s="36" t="s">
        <v>1342</v>
      </c>
      <c r="H234" s="37">
        <v>2500</v>
      </c>
      <c r="I234" s="36" t="s">
        <v>701</v>
      </c>
      <c r="J234" s="34" t="s">
        <v>698</v>
      </c>
      <c r="K234" s="38"/>
      <c r="L234" s="36" t="s">
        <v>695</v>
      </c>
      <c r="M234" s="36" t="s">
        <v>695</v>
      </c>
      <c r="N234" s="38"/>
      <c r="O234" s="38"/>
      <c r="P234" s="1"/>
      <c r="Q234" s="40"/>
    </row>
    <row r="235" spans="2:17" ht="16.5" x14ac:dyDescent="0.3">
      <c r="B235" s="33">
        <v>231</v>
      </c>
      <c r="C235" s="34" t="s">
        <v>694</v>
      </c>
      <c r="D235" s="35" t="s">
        <v>711</v>
      </c>
      <c r="E235" s="34" t="s">
        <v>696</v>
      </c>
      <c r="F235" s="36" t="s">
        <v>942</v>
      </c>
      <c r="G235" s="36" t="s">
        <v>1343</v>
      </c>
      <c r="H235" s="37">
        <v>2000</v>
      </c>
      <c r="I235" s="36" t="s">
        <v>697</v>
      </c>
      <c r="J235" s="34" t="s">
        <v>698</v>
      </c>
      <c r="K235" s="38"/>
      <c r="L235" s="36" t="s">
        <v>695</v>
      </c>
      <c r="M235" s="36" t="s">
        <v>695</v>
      </c>
      <c r="N235" s="38"/>
      <c r="O235" s="38"/>
      <c r="P235" s="1"/>
      <c r="Q235" s="40"/>
    </row>
    <row r="236" spans="2:17" ht="16.5" x14ac:dyDescent="0.3">
      <c r="B236" s="33">
        <v>232</v>
      </c>
      <c r="C236" s="34" t="s">
        <v>694</v>
      </c>
      <c r="D236" s="35" t="s">
        <v>711</v>
      </c>
      <c r="E236" s="34" t="s">
        <v>696</v>
      </c>
      <c r="F236" s="36" t="s">
        <v>943</v>
      </c>
      <c r="G236" s="36" t="s">
        <v>1344</v>
      </c>
      <c r="H236" s="37">
        <v>3557</v>
      </c>
      <c r="I236" s="36" t="s">
        <v>697</v>
      </c>
      <c r="J236" s="34" t="s">
        <v>698</v>
      </c>
      <c r="K236" s="38"/>
      <c r="L236" s="36" t="s">
        <v>695</v>
      </c>
      <c r="M236" s="36" t="s">
        <v>695</v>
      </c>
      <c r="N236" s="38"/>
      <c r="O236" s="38"/>
      <c r="P236" s="1"/>
      <c r="Q236" s="40"/>
    </row>
    <row r="237" spans="2:17" ht="16.5" x14ac:dyDescent="0.3">
      <c r="B237" s="33">
        <v>233</v>
      </c>
      <c r="C237" s="34" t="s">
        <v>694</v>
      </c>
      <c r="D237" s="35" t="s">
        <v>711</v>
      </c>
      <c r="E237" s="34" t="s">
        <v>696</v>
      </c>
      <c r="F237" s="36" t="s">
        <v>944</v>
      </c>
      <c r="G237" s="36" t="s">
        <v>1345</v>
      </c>
      <c r="H237" s="37">
        <v>10856</v>
      </c>
      <c r="I237" s="36" t="s">
        <v>697</v>
      </c>
      <c r="J237" s="34" t="s">
        <v>698</v>
      </c>
      <c r="K237" s="38"/>
      <c r="L237" s="36" t="s">
        <v>695</v>
      </c>
      <c r="M237" s="36" t="s">
        <v>695</v>
      </c>
      <c r="N237" s="38"/>
      <c r="O237" s="38"/>
      <c r="P237" s="1"/>
      <c r="Q237" s="40"/>
    </row>
    <row r="238" spans="2:17" ht="16.5" x14ac:dyDescent="0.3">
      <c r="B238" s="33">
        <v>234</v>
      </c>
      <c r="C238" s="34" t="s">
        <v>694</v>
      </c>
      <c r="D238" s="35" t="s">
        <v>711</v>
      </c>
      <c r="E238" s="34" t="s">
        <v>696</v>
      </c>
      <c r="F238" s="36" t="s">
        <v>945</v>
      </c>
      <c r="G238" s="36" t="s">
        <v>1346</v>
      </c>
      <c r="H238" s="37">
        <v>12421</v>
      </c>
      <c r="I238" s="36" t="s">
        <v>697</v>
      </c>
      <c r="J238" s="34" t="s">
        <v>698</v>
      </c>
      <c r="K238" s="38"/>
      <c r="L238" s="36" t="s">
        <v>695</v>
      </c>
      <c r="M238" s="36" t="s">
        <v>695</v>
      </c>
      <c r="N238" s="38"/>
      <c r="O238" s="38"/>
      <c r="P238" s="1"/>
      <c r="Q238" s="40"/>
    </row>
    <row r="239" spans="2:17" ht="16.5" x14ac:dyDescent="0.3">
      <c r="B239" s="33">
        <v>235</v>
      </c>
      <c r="C239" s="34" t="s">
        <v>694</v>
      </c>
      <c r="D239" s="35" t="s">
        <v>711</v>
      </c>
      <c r="E239" s="34" t="s">
        <v>696</v>
      </c>
      <c r="F239" s="36" t="s">
        <v>946</v>
      </c>
      <c r="G239" s="36" t="s">
        <v>1347</v>
      </c>
      <c r="H239" s="37">
        <v>6592</v>
      </c>
      <c r="I239" s="36" t="s">
        <v>697</v>
      </c>
      <c r="J239" s="34" t="s">
        <v>698</v>
      </c>
      <c r="K239" s="38"/>
      <c r="L239" s="36" t="s">
        <v>695</v>
      </c>
      <c r="M239" s="36" t="s">
        <v>695</v>
      </c>
      <c r="N239" s="38"/>
      <c r="O239" s="38"/>
      <c r="P239" s="1"/>
      <c r="Q239" s="40"/>
    </row>
    <row r="240" spans="2:17" ht="16.5" x14ac:dyDescent="0.3">
      <c r="B240" s="33">
        <v>236</v>
      </c>
      <c r="C240" s="34" t="s">
        <v>694</v>
      </c>
      <c r="D240" s="35" t="s">
        <v>711</v>
      </c>
      <c r="E240" s="34" t="s">
        <v>696</v>
      </c>
      <c r="F240" s="36" t="s">
        <v>947</v>
      </c>
      <c r="G240" s="36" t="s">
        <v>1348</v>
      </c>
      <c r="H240" s="37">
        <v>13297</v>
      </c>
      <c r="I240" s="36" t="s">
        <v>697</v>
      </c>
      <c r="J240" s="34" t="s">
        <v>698</v>
      </c>
      <c r="K240" s="38"/>
      <c r="L240" s="36" t="s">
        <v>695</v>
      </c>
      <c r="M240" s="36" t="s">
        <v>695</v>
      </c>
      <c r="N240" s="38"/>
      <c r="O240" s="38"/>
      <c r="P240" s="1"/>
      <c r="Q240" s="40"/>
    </row>
    <row r="241" spans="2:17" ht="16.5" x14ac:dyDescent="0.3">
      <c r="B241" s="33">
        <v>237</v>
      </c>
      <c r="C241" s="34" t="s">
        <v>694</v>
      </c>
      <c r="D241" s="35" t="s">
        <v>711</v>
      </c>
      <c r="E241" s="34" t="s">
        <v>696</v>
      </c>
      <c r="F241" s="36" t="s">
        <v>948</v>
      </c>
      <c r="G241" s="36" t="s">
        <v>1349</v>
      </c>
      <c r="H241" s="37">
        <v>2510</v>
      </c>
      <c r="I241" s="36" t="s">
        <v>697</v>
      </c>
      <c r="J241" s="34" t="s">
        <v>698</v>
      </c>
      <c r="K241" s="38"/>
      <c r="L241" s="36" t="s">
        <v>695</v>
      </c>
      <c r="M241" s="36" t="s">
        <v>695</v>
      </c>
      <c r="N241" s="38"/>
      <c r="O241" s="38"/>
      <c r="P241" s="1"/>
      <c r="Q241" s="40"/>
    </row>
    <row r="242" spans="2:17" ht="16.5" x14ac:dyDescent="0.3">
      <c r="B242" s="33">
        <v>238</v>
      </c>
      <c r="C242" s="34" t="s">
        <v>694</v>
      </c>
      <c r="D242" s="35" t="s">
        <v>711</v>
      </c>
      <c r="E242" s="34" t="s">
        <v>696</v>
      </c>
      <c r="F242" s="36" t="s">
        <v>949</v>
      </c>
      <c r="G242" s="36" t="s">
        <v>1350</v>
      </c>
      <c r="H242" s="37">
        <v>2176</v>
      </c>
      <c r="I242" s="36" t="s">
        <v>697</v>
      </c>
      <c r="J242" s="34" t="s">
        <v>698</v>
      </c>
      <c r="K242" s="38"/>
      <c r="L242" s="36" t="s">
        <v>695</v>
      </c>
      <c r="M242" s="36" t="s">
        <v>695</v>
      </c>
      <c r="N242" s="38"/>
      <c r="O242" s="38"/>
      <c r="P242" s="1"/>
      <c r="Q242" s="40"/>
    </row>
    <row r="243" spans="2:17" ht="16.5" x14ac:dyDescent="0.3">
      <c r="B243" s="33">
        <v>239</v>
      </c>
      <c r="C243" s="34" t="s">
        <v>694</v>
      </c>
      <c r="D243" s="35" t="s">
        <v>711</v>
      </c>
      <c r="E243" s="34" t="s">
        <v>696</v>
      </c>
      <c r="F243" s="36" t="s">
        <v>950</v>
      </c>
      <c r="G243" s="36" t="s">
        <v>1351</v>
      </c>
      <c r="H243" s="37">
        <v>15157</v>
      </c>
      <c r="I243" s="36" t="s">
        <v>697</v>
      </c>
      <c r="J243" s="34" t="s">
        <v>698</v>
      </c>
      <c r="K243" s="38"/>
      <c r="L243" s="36" t="s">
        <v>695</v>
      </c>
      <c r="M243" s="36" t="s">
        <v>695</v>
      </c>
      <c r="N243" s="38"/>
      <c r="O243" s="38"/>
      <c r="P243" s="1"/>
      <c r="Q243" s="40"/>
    </row>
    <row r="244" spans="2:17" ht="16.5" x14ac:dyDescent="0.3">
      <c r="B244" s="33">
        <v>240</v>
      </c>
      <c r="C244" s="34" t="s">
        <v>694</v>
      </c>
      <c r="D244" s="35" t="s">
        <v>711</v>
      </c>
      <c r="E244" s="34" t="s">
        <v>696</v>
      </c>
      <c r="F244" s="36" t="s">
        <v>951</v>
      </c>
      <c r="G244" s="36" t="s">
        <v>1352</v>
      </c>
      <c r="H244" s="37">
        <v>1470</v>
      </c>
      <c r="I244" s="36" t="s">
        <v>701</v>
      </c>
      <c r="J244" s="34" t="s">
        <v>698</v>
      </c>
      <c r="K244" s="38"/>
      <c r="L244" s="36" t="s">
        <v>695</v>
      </c>
      <c r="M244" s="36" t="s">
        <v>695</v>
      </c>
      <c r="N244" s="38"/>
      <c r="O244" s="38"/>
      <c r="P244" s="1"/>
      <c r="Q244" s="40"/>
    </row>
    <row r="245" spans="2:17" ht="16.5" x14ac:dyDescent="0.3">
      <c r="B245" s="33">
        <v>241</v>
      </c>
      <c r="C245" s="34" t="s">
        <v>694</v>
      </c>
      <c r="D245" s="35" t="s">
        <v>711</v>
      </c>
      <c r="E245" s="34" t="s">
        <v>696</v>
      </c>
      <c r="F245" s="36" t="s">
        <v>952</v>
      </c>
      <c r="G245" s="36" t="s">
        <v>1353</v>
      </c>
      <c r="H245" s="37">
        <v>2000</v>
      </c>
      <c r="I245" s="36" t="s">
        <v>697</v>
      </c>
      <c r="J245" s="34" t="s">
        <v>698</v>
      </c>
      <c r="K245" s="38"/>
      <c r="L245" s="36" t="s">
        <v>695</v>
      </c>
      <c r="M245" s="36" t="s">
        <v>695</v>
      </c>
      <c r="N245" s="38"/>
      <c r="O245" s="38"/>
      <c r="P245" s="1"/>
      <c r="Q245" s="40"/>
    </row>
    <row r="246" spans="2:17" ht="16.5" x14ac:dyDescent="0.3">
      <c r="B246" s="33">
        <v>242</v>
      </c>
      <c r="C246" s="34" t="s">
        <v>694</v>
      </c>
      <c r="D246" s="35" t="s">
        <v>711</v>
      </c>
      <c r="E246" s="34" t="s">
        <v>696</v>
      </c>
      <c r="F246" s="36" t="s">
        <v>953</v>
      </c>
      <c r="G246" s="36" t="s">
        <v>1354</v>
      </c>
      <c r="H246" s="37">
        <v>2000</v>
      </c>
      <c r="I246" s="36" t="s">
        <v>697</v>
      </c>
      <c r="J246" s="34" t="s">
        <v>698</v>
      </c>
      <c r="K246" s="38"/>
      <c r="L246" s="36" t="s">
        <v>695</v>
      </c>
      <c r="M246" s="36" t="s">
        <v>695</v>
      </c>
      <c r="N246" s="38"/>
      <c r="O246" s="38"/>
      <c r="P246" s="1"/>
      <c r="Q246" s="40"/>
    </row>
    <row r="247" spans="2:17" ht="16.5" x14ac:dyDescent="0.3">
      <c r="B247" s="33">
        <v>243</v>
      </c>
      <c r="C247" s="34" t="s">
        <v>694</v>
      </c>
      <c r="D247" s="35" t="s">
        <v>711</v>
      </c>
      <c r="E247" s="34" t="s">
        <v>696</v>
      </c>
      <c r="F247" s="36" t="s">
        <v>954</v>
      </c>
      <c r="G247" s="36" t="s">
        <v>1355</v>
      </c>
      <c r="H247" s="37">
        <v>2750</v>
      </c>
      <c r="I247" s="36" t="s">
        <v>697</v>
      </c>
      <c r="J247" s="34" t="s">
        <v>698</v>
      </c>
      <c r="K247" s="38"/>
      <c r="L247" s="36" t="s">
        <v>695</v>
      </c>
      <c r="M247" s="36" t="s">
        <v>695</v>
      </c>
      <c r="N247" s="38"/>
      <c r="O247" s="38"/>
      <c r="P247" s="1"/>
      <c r="Q247" s="40"/>
    </row>
    <row r="248" spans="2:17" ht="16.5" x14ac:dyDescent="0.3">
      <c r="B248" s="33">
        <v>244</v>
      </c>
      <c r="C248" s="34" t="s">
        <v>694</v>
      </c>
      <c r="D248" s="35" t="s">
        <v>711</v>
      </c>
      <c r="E248" s="34" t="s">
        <v>696</v>
      </c>
      <c r="F248" s="36" t="s">
        <v>955</v>
      </c>
      <c r="G248" s="36" t="s">
        <v>1356</v>
      </c>
      <c r="H248" s="37">
        <v>54000</v>
      </c>
      <c r="I248" s="36" t="s">
        <v>697</v>
      </c>
      <c r="J248" s="34" t="s">
        <v>698</v>
      </c>
      <c r="K248" s="38"/>
      <c r="L248" s="36" t="s">
        <v>695</v>
      </c>
      <c r="M248" s="36" t="s">
        <v>695</v>
      </c>
      <c r="N248" s="38"/>
      <c r="O248" s="38"/>
      <c r="P248" s="1"/>
      <c r="Q248" s="40"/>
    </row>
    <row r="249" spans="2:17" ht="16.5" x14ac:dyDescent="0.3">
      <c r="B249" s="33">
        <v>245</v>
      </c>
      <c r="C249" s="34" t="s">
        <v>694</v>
      </c>
      <c r="D249" s="35" t="s">
        <v>711</v>
      </c>
      <c r="E249" s="34" t="s">
        <v>696</v>
      </c>
      <c r="F249" s="36" t="s">
        <v>956</v>
      </c>
      <c r="G249" s="36" t="s">
        <v>1357</v>
      </c>
      <c r="H249" s="37">
        <v>54000</v>
      </c>
      <c r="I249" s="36" t="s">
        <v>697</v>
      </c>
      <c r="J249" s="34" t="s">
        <v>698</v>
      </c>
      <c r="K249" s="38"/>
      <c r="L249" s="36" t="s">
        <v>695</v>
      </c>
      <c r="M249" s="36" t="s">
        <v>695</v>
      </c>
      <c r="N249" s="38"/>
      <c r="O249" s="38"/>
      <c r="P249" s="1"/>
      <c r="Q249" s="40"/>
    </row>
    <row r="250" spans="2:17" ht="16.5" x14ac:dyDescent="0.3">
      <c r="B250" s="33">
        <v>246</v>
      </c>
      <c r="C250" s="34" t="s">
        <v>694</v>
      </c>
      <c r="D250" s="35" t="s">
        <v>711</v>
      </c>
      <c r="E250" s="34" t="s">
        <v>696</v>
      </c>
      <c r="F250" s="36" t="s">
        <v>957</v>
      </c>
      <c r="G250" s="36" t="s">
        <v>1358</v>
      </c>
      <c r="H250" s="37">
        <v>13194</v>
      </c>
      <c r="I250" s="36" t="s">
        <v>697</v>
      </c>
      <c r="J250" s="34" t="s">
        <v>698</v>
      </c>
      <c r="K250" s="38"/>
      <c r="L250" s="36" t="s">
        <v>695</v>
      </c>
      <c r="M250" s="36" t="s">
        <v>695</v>
      </c>
      <c r="N250" s="38"/>
      <c r="O250" s="38"/>
      <c r="P250" s="1"/>
      <c r="Q250" s="40"/>
    </row>
    <row r="251" spans="2:17" ht="16.5" x14ac:dyDescent="0.3">
      <c r="B251" s="33">
        <v>247</v>
      </c>
      <c r="C251" s="34" t="s">
        <v>694</v>
      </c>
      <c r="D251" s="35" t="s">
        <v>711</v>
      </c>
      <c r="E251" s="34" t="s">
        <v>696</v>
      </c>
      <c r="F251" s="36" t="s">
        <v>958</v>
      </c>
      <c r="G251" s="36" t="s">
        <v>1359</v>
      </c>
      <c r="H251" s="37">
        <v>1100</v>
      </c>
      <c r="I251" s="36" t="s">
        <v>697</v>
      </c>
      <c r="J251" s="34" t="s">
        <v>698</v>
      </c>
      <c r="K251" s="38"/>
      <c r="L251" s="36" t="s">
        <v>695</v>
      </c>
      <c r="M251" s="36" t="s">
        <v>695</v>
      </c>
      <c r="N251" s="38"/>
      <c r="O251" s="38"/>
      <c r="P251" s="1"/>
      <c r="Q251" s="40"/>
    </row>
    <row r="252" spans="2:17" ht="16.5" x14ac:dyDescent="0.3">
      <c r="B252" s="33">
        <v>248</v>
      </c>
      <c r="C252" s="34" t="s">
        <v>694</v>
      </c>
      <c r="D252" s="35" t="s">
        <v>711</v>
      </c>
      <c r="E252" s="34" t="s">
        <v>696</v>
      </c>
      <c r="F252" s="36" t="s">
        <v>959</v>
      </c>
      <c r="G252" s="36" t="s">
        <v>1360</v>
      </c>
      <c r="H252" s="37">
        <v>2000</v>
      </c>
      <c r="I252" s="36" t="s">
        <v>697</v>
      </c>
      <c r="J252" s="34" t="s">
        <v>698</v>
      </c>
      <c r="K252" s="38"/>
      <c r="L252" s="36" t="s">
        <v>695</v>
      </c>
      <c r="M252" s="36" t="s">
        <v>695</v>
      </c>
      <c r="N252" s="38"/>
      <c r="O252" s="38"/>
      <c r="P252" s="1"/>
      <c r="Q252" s="40"/>
    </row>
    <row r="253" spans="2:17" ht="16.5" x14ac:dyDescent="0.3">
      <c r="B253" s="33">
        <v>249</v>
      </c>
      <c r="C253" s="34" t="s">
        <v>694</v>
      </c>
      <c r="D253" s="35" t="s">
        <v>711</v>
      </c>
      <c r="E253" s="34" t="s">
        <v>696</v>
      </c>
      <c r="F253" s="36" t="s">
        <v>960</v>
      </c>
      <c r="G253" s="36" t="s">
        <v>1361</v>
      </c>
      <c r="H253" s="37">
        <v>15000</v>
      </c>
      <c r="I253" s="36" t="s">
        <v>697</v>
      </c>
      <c r="J253" s="34" t="s">
        <v>698</v>
      </c>
      <c r="K253" s="38"/>
      <c r="L253" s="36" t="s">
        <v>695</v>
      </c>
      <c r="M253" s="36" t="s">
        <v>695</v>
      </c>
      <c r="N253" s="38"/>
      <c r="O253" s="38"/>
      <c r="P253" s="1"/>
      <c r="Q253" s="40"/>
    </row>
    <row r="254" spans="2:17" ht="16.5" x14ac:dyDescent="0.3">
      <c r="B254" s="33">
        <v>250</v>
      </c>
      <c r="C254" s="34" t="s">
        <v>694</v>
      </c>
      <c r="D254" s="35" t="s">
        <v>711</v>
      </c>
      <c r="E254" s="34" t="s">
        <v>696</v>
      </c>
      <c r="F254" s="36" t="s">
        <v>961</v>
      </c>
      <c r="G254" s="36" t="s">
        <v>1362</v>
      </c>
      <c r="H254" s="37">
        <v>3000</v>
      </c>
      <c r="I254" s="36" t="s">
        <v>697</v>
      </c>
      <c r="J254" s="34" t="s">
        <v>698</v>
      </c>
      <c r="K254" s="38"/>
      <c r="L254" s="36" t="s">
        <v>695</v>
      </c>
      <c r="M254" s="36" t="s">
        <v>695</v>
      </c>
      <c r="N254" s="38"/>
      <c r="O254" s="38"/>
      <c r="P254" s="1"/>
      <c r="Q254" s="40"/>
    </row>
    <row r="255" spans="2:17" ht="16.5" x14ac:dyDescent="0.3">
      <c r="B255" s="33">
        <v>251</v>
      </c>
      <c r="C255" s="34" t="s">
        <v>694</v>
      </c>
      <c r="D255" s="35" t="s">
        <v>711</v>
      </c>
      <c r="E255" s="34" t="s">
        <v>696</v>
      </c>
      <c r="F255" s="36" t="s">
        <v>962</v>
      </c>
      <c r="G255" s="36" t="s">
        <v>1363</v>
      </c>
      <c r="H255" s="37">
        <v>2207</v>
      </c>
      <c r="I255" s="36" t="s">
        <v>697</v>
      </c>
      <c r="J255" s="34" t="s">
        <v>698</v>
      </c>
      <c r="K255" s="38"/>
      <c r="L255" s="36" t="s">
        <v>695</v>
      </c>
      <c r="M255" s="36" t="s">
        <v>695</v>
      </c>
      <c r="N255" s="38"/>
      <c r="O255" s="38"/>
      <c r="P255" s="1"/>
      <c r="Q255" s="40"/>
    </row>
    <row r="256" spans="2:17" ht="16.5" x14ac:dyDescent="0.3">
      <c r="B256" s="33">
        <v>252</v>
      </c>
      <c r="C256" s="34" t="s">
        <v>694</v>
      </c>
      <c r="D256" s="35" t="s">
        <v>711</v>
      </c>
      <c r="E256" s="34" t="s">
        <v>696</v>
      </c>
      <c r="F256" s="36" t="s">
        <v>963</v>
      </c>
      <c r="G256" s="36" t="s">
        <v>1364</v>
      </c>
      <c r="H256" s="37">
        <v>2646</v>
      </c>
      <c r="I256" s="36" t="s">
        <v>697</v>
      </c>
      <c r="J256" s="34" t="s">
        <v>698</v>
      </c>
      <c r="K256" s="38"/>
      <c r="L256" s="36" t="s">
        <v>695</v>
      </c>
      <c r="M256" s="36" t="s">
        <v>695</v>
      </c>
      <c r="N256" s="38"/>
      <c r="O256" s="38"/>
      <c r="P256" s="1"/>
      <c r="Q256" s="40"/>
    </row>
    <row r="257" spans="2:17" ht="16.5" x14ac:dyDescent="0.3">
      <c r="B257" s="33">
        <v>253</v>
      </c>
      <c r="C257" s="34" t="s">
        <v>694</v>
      </c>
      <c r="D257" s="35" t="s">
        <v>711</v>
      </c>
      <c r="E257" s="34" t="s">
        <v>696</v>
      </c>
      <c r="F257" s="36" t="s">
        <v>964</v>
      </c>
      <c r="G257" s="36" t="s">
        <v>1365</v>
      </c>
      <c r="H257" s="37">
        <v>21400</v>
      </c>
      <c r="I257" s="36" t="s">
        <v>697</v>
      </c>
      <c r="J257" s="34" t="s">
        <v>698</v>
      </c>
      <c r="K257" s="38"/>
      <c r="L257" s="36" t="s">
        <v>695</v>
      </c>
      <c r="M257" s="36" t="s">
        <v>695</v>
      </c>
      <c r="N257" s="38"/>
      <c r="O257" s="38"/>
      <c r="P257" s="1"/>
      <c r="Q257" s="40"/>
    </row>
    <row r="258" spans="2:17" ht="16.5" x14ac:dyDescent="0.3">
      <c r="B258" s="33">
        <v>254</v>
      </c>
      <c r="C258" s="34" t="s">
        <v>694</v>
      </c>
      <c r="D258" s="35" t="s">
        <v>711</v>
      </c>
      <c r="E258" s="34" t="s">
        <v>696</v>
      </c>
      <c r="F258" s="36" t="s">
        <v>965</v>
      </c>
      <c r="G258" s="36" t="s">
        <v>1366</v>
      </c>
      <c r="H258" s="37">
        <v>5768</v>
      </c>
      <c r="I258" s="36" t="s">
        <v>697</v>
      </c>
      <c r="J258" s="34" t="s">
        <v>698</v>
      </c>
      <c r="K258" s="38"/>
      <c r="L258" s="36" t="s">
        <v>695</v>
      </c>
      <c r="M258" s="36" t="s">
        <v>695</v>
      </c>
      <c r="N258" s="38"/>
      <c r="O258" s="38"/>
      <c r="P258" s="1"/>
      <c r="Q258" s="40"/>
    </row>
    <row r="259" spans="2:17" ht="16.5" x14ac:dyDescent="0.3">
      <c r="B259" s="33">
        <v>255</v>
      </c>
      <c r="C259" s="34" t="s">
        <v>694</v>
      </c>
      <c r="D259" s="35" t="s">
        <v>711</v>
      </c>
      <c r="E259" s="34" t="s">
        <v>696</v>
      </c>
      <c r="F259" s="36" t="s">
        <v>966</v>
      </c>
      <c r="G259" s="36" t="s">
        <v>1367</v>
      </c>
      <c r="H259" s="37">
        <v>5000</v>
      </c>
      <c r="I259" s="36" t="s">
        <v>697</v>
      </c>
      <c r="J259" s="34" t="s">
        <v>698</v>
      </c>
      <c r="K259" s="38"/>
      <c r="L259" s="36" t="s">
        <v>695</v>
      </c>
      <c r="M259" s="36" t="s">
        <v>695</v>
      </c>
      <c r="N259" s="38"/>
      <c r="O259" s="38"/>
      <c r="P259" s="1"/>
      <c r="Q259" s="40"/>
    </row>
    <row r="260" spans="2:17" ht="16.5" x14ac:dyDescent="0.3">
      <c r="B260" s="33">
        <v>256</v>
      </c>
      <c r="C260" s="34" t="s">
        <v>694</v>
      </c>
      <c r="D260" s="35" t="s">
        <v>711</v>
      </c>
      <c r="E260" s="34" t="s">
        <v>696</v>
      </c>
      <c r="F260" s="36" t="s">
        <v>967</v>
      </c>
      <c r="G260" s="36" t="s">
        <v>1368</v>
      </c>
      <c r="H260" s="37">
        <v>3195</v>
      </c>
      <c r="I260" s="36" t="s">
        <v>697</v>
      </c>
      <c r="J260" s="34" t="s">
        <v>698</v>
      </c>
      <c r="K260" s="38"/>
      <c r="L260" s="36" t="s">
        <v>695</v>
      </c>
      <c r="M260" s="36" t="s">
        <v>695</v>
      </c>
      <c r="N260" s="38"/>
      <c r="O260" s="38"/>
      <c r="P260" s="1"/>
      <c r="Q260" s="40"/>
    </row>
    <row r="261" spans="2:17" ht="16.5" x14ac:dyDescent="0.3">
      <c r="B261" s="33">
        <v>257</v>
      </c>
      <c r="C261" s="34" t="s">
        <v>694</v>
      </c>
      <c r="D261" s="35" t="s">
        <v>711</v>
      </c>
      <c r="E261" s="34" t="s">
        <v>696</v>
      </c>
      <c r="F261" s="36" t="s">
        <v>968</v>
      </c>
      <c r="G261" s="36" t="s">
        <v>1369</v>
      </c>
      <c r="H261" s="37">
        <v>2676</v>
      </c>
      <c r="I261" s="36" t="s">
        <v>697</v>
      </c>
      <c r="J261" s="34" t="s">
        <v>698</v>
      </c>
      <c r="K261" s="38"/>
      <c r="L261" s="36" t="s">
        <v>695</v>
      </c>
      <c r="M261" s="36" t="s">
        <v>695</v>
      </c>
      <c r="N261" s="38"/>
      <c r="O261" s="38"/>
      <c r="P261" s="1"/>
      <c r="Q261" s="40"/>
    </row>
    <row r="262" spans="2:17" ht="16.5" x14ac:dyDescent="0.3">
      <c r="B262" s="33">
        <v>258</v>
      </c>
      <c r="C262" s="34" t="s">
        <v>694</v>
      </c>
      <c r="D262" s="35" t="s">
        <v>711</v>
      </c>
      <c r="E262" s="34" t="s">
        <v>696</v>
      </c>
      <c r="F262" s="36" t="s">
        <v>969</v>
      </c>
      <c r="G262" s="36" t="s">
        <v>1370</v>
      </c>
      <c r="H262" s="37">
        <v>3300</v>
      </c>
      <c r="I262" s="36" t="s">
        <v>697</v>
      </c>
      <c r="J262" s="34" t="s">
        <v>698</v>
      </c>
      <c r="K262" s="38"/>
      <c r="L262" s="36" t="s">
        <v>695</v>
      </c>
      <c r="M262" s="36" t="s">
        <v>695</v>
      </c>
      <c r="N262" s="38"/>
      <c r="O262" s="38"/>
      <c r="P262" s="1"/>
      <c r="Q262" s="40"/>
    </row>
    <row r="263" spans="2:17" ht="16.5" x14ac:dyDescent="0.3">
      <c r="B263" s="33">
        <v>259</v>
      </c>
      <c r="C263" s="34" t="s">
        <v>694</v>
      </c>
      <c r="D263" s="35" t="s">
        <v>711</v>
      </c>
      <c r="E263" s="34" t="s">
        <v>696</v>
      </c>
      <c r="F263" s="36" t="s">
        <v>970</v>
      </c>
      <c r="G263" s="36" t="s">
        <v>1371</v>
      </c>
      <c r="H263" s="37">
        <v>7500</v>
      </c>
      <c r="I263" s="36" t="s">
        <v>697</v>
      </c>
      <c r="J263" s="34" t="s">
        <v>698</v>
      </c>
      <c r="K263" s="38"/>
      <c r="L263" s="36" t="s">
        <v>695</v>
      </c>
      <c r="M263" s="36" t="s">
        <v>695</v>
      </c>
      <c r="N263" s="38"/>
      <c r="O263" s="38"/>
      <c r="P263" s="1"/>
      <c r="Q263" s="40"/>
    </row>
    <row r="264" spans="2:17" ht="16.5" x14ac:dyDescent="0.3">
      <c r="B264" s="33">
        <v>260</v>
      </c>
      <c r="C264" s="34" t="s">
        <v>694</v>
      </c>
      <c r="D264" s="35" t="s">
        <v>711</v>
      </c>
      <c r="E264" s="34" t="s">
        <v>696</v>
      </c>
      <c r="F264" s="36" t="s">
        <v>971</v>
      </c>
      <c r="G264" s="36" t="s">
        <v>1372</v>
      </c>
      <c r="H264" s="37">
        <v>2145</v>
      </c>
      <c r="I264" s="36" t="s">
        <v>697</v>
      </c>
      <c r="J264" s="34" t="s">
        <v>698</v>
      </c>
      <c r="K264" s="38"/>
      <c r="L264" s="36" t="s">
        <v>695</v>
      </c>
      <c r="M264" s="36" t="s">
        <v>695</v>
      </c>
      <c r="N264" s="38"/>
      <c r="O264" s="38"/>
      <c r="P264" s="1"/>
      <c r="Q264" s="40"/>
    </row>
    <row r="265" spans="2:17" ht="16.5" x14ac:dyDescent="0.3">
      <c r="B265" s="33">
        <v>261</v>
      </c>
      <c r="C265" s="34" t="s">
        <v>694</v>
      </c>
      <c r="D265" s="35" t="s">
        <v>711</v>
      </c>
      <c r="E265" s="34" t="s">
        <v>696</v>
      </c>
      <c r="F265" s="36" t="s">
        <v>972</v>
      </c>
      <c r="G265" s="36" t="s">
        <v>1373</v>
      </c>
      <c r="H265" s="37">
        <v>2678</v>
      </c>
      <c r="I265" s="36" t="s">
        <v>697</v>
      </c>
      <c r="J265" s="34" t="s">
        <v>698</v>
      </c>
      <c r="K265" s="38"/>
      <c r="L265" s="36" t="s">
        <v>695</v>
      </c>
      <c r="M265" s="36" t="s">
        <v>695</v>
      </c>
      <c r="N265" s="38"/>
      <c r="O265" s="38"/>
      <c r="P265" s="1"/>
      <c r="Q265" s="40"/>
    </row>
    <row r="266" spans="2:17" ht="16.5" x14ac:dyDescent="0.3">
      <c r="B266" s="33">
        <v>262</v>
      </c>
      <c r="C266" s="34" t="s">
        <v>694</v>
      </c>
      <c r="D266" s="35" t="s">
        <v>711</v>
      </c>
      <c r="E266" s="34" t="s">
        <v>696</v>
      </c>
      <c r="F266" s="36" t="s">
        <v>973</v>
      </c>
      <c r="G266" s="36" t="s">
        <v>1374</v>
      </c>
      <c r="H266" s="37">
        <v>5000</v>
      </c>
      <c r="I266" s="36" t="s">
        <v>697</v>
      </c>
      <c r="J266" s="34" t="s">
        <v>698</v>
      </c>
      <c r="K266" s="38"/>
      <c r="L266" s="36" t="s">
        <v>695</v>
      </c>
      <c r="M266" s="36" t="s">
        <v>695</v>
      </c>
      <c r="N266" s="38"/>
      <c r="O266" s="38"/>
      <c r="P266" s="1"/>
      <c r="Q266" s="40"/>
    </row>
    <row r="267" spans="2:17" ht="16.5" x14ac:dyDescent="0.3">
      <c r="B267" s="33">
        <v>263</v>
      </c>
      <c r="C267" s="34" t="s">
        <v>694</v>
      </c>
      <c r="D267" s="35" t="s">
        <v>711</v>
      </c>
      <c r="E267" s="34" t="s">
        <v>696</v>
      </c>
      <c r="F267" s="36" t="s">
        <v>974</v>
      </c>
      <c r="G267" s="36" t="s">
        <v>1375</v>
      </c>
      <c r="H267" s="37">
        <v>2000</v>
      </c>
      <c r="I267" s="36" t="s">
        <v>701</v>
      </c>
      <c r="J267" s="34" t="s">
        <v>698</v>
      </c>
      <c r="K267" s="38"/>
      <c r="L267" s="36" t="s">
        <v>695</v>
      </c>
      <c r="M267" s="36" t="s">
        <v>695</v>
      </c>
      <c r="N267" s="38"/>
      <c r="O267" s="38"/>
      <c r="P267" s="1"/>
      <c r="Q267" s="40"/>
    </row>
    <row r="268" spans="2:17" ht="16.5" x14ac:dyDescent="0.3">
      <c r="B268" s="33">
        <v>264</v>
      </c>
      <c r="C268" s="34" t="s">
        <v>694</v>
      </c>
      <c r="D268" s="35" t="s">
        <v>711</v>
      </c>
      <c r="E268" s="34" t="s">
        <v>696</v>
      </c>
      <c r="F268" s="36" t="s">
        <v>975</v>
      </c>
      <c r="G268" s="36" t="s">
        <v>1376</v>
      </c>
      <c r="H268" s="37">
        <v>2168</v>
      </c>
      <c r="I268" s="36" t="s">
        <v>697</v>
      </c>
      <c r="J268" s="34" t="s">
        <v>698</v>
      </c>
      <c r="K268" s="38"/>
      <c r="L268" s="36" t="s">
        <v>695</v>
      </c>
      <c r="M268" s="36" t="s">
        <v>695</v>
      </c>
      <c r="N268" s="38"/>
      <c r="O268" s="38"/>
      <c r="P268" s="1"/>
      <c r="Q268" s="40"/>
    </row>
    <row r="269" spans="2:17" ht="16.5" x14ac:dyDescent="0.3">
      <c r="B269" s="33">
        <v>265</v>
      </c>
      <c r="C269" s="34" t="s">
        <v>694</v>
      </c>
      <c r="D269" s="35" t="s">
        <v>711</v>
      </c>
      <c r="E269" s="34" t="s">
        <v>696</v>
      </c>
      <c r="F269" s="36" t="s">
        <v>976</v>
      </c>
      <c r="G269" s="36" t="s">
        <v>1377</v>
      </c>
      <c r="H269" s="37">
        <v>2150</v>
      </c>
      <c r="I269" s="36" t="s">
        <v>697</v>
      </c>
      <c r="J269" s="34" t="s">
        <v>698</v>
      </c>
      <c r="K269" s="38"/>
      <c r="L269" s="36" t="s">
        <v>695</v>
      </c>
      <c r="M269" s="36" t="s">
        <v>695</v>
      </c>
      <c r="N269" s="38"/>
      <c r="O269" s="38"/>
      <c r="P269" s="1"/>
      <c r="Q269" s="40"/>
    </row>
    <row r="270" spans="2:17" ht="16.5" x14ac:dyDescent="0.3">
      <c r="B270" s="33">
        <v>266</v>
      </c>
      <c r="C270" s="34" t="s">
        <v>694</v>
      </c>
      <c r="D270" s="35" t="s">
        <v>711</v>
      </c>
      <c r="E270" s="34" t="s">
        <v>696</v>
      </c>
      <c r="F270" s="36" t="s">
        <v>977</v>
      </c>
      <c r="G270" s="36" t="s">
        <v>1378</v>
      </c>
      <c r="H270" s="37">
        <v>17702</v>
      </c>
      <c r="I270" s="36" t="s">
        <v>697</v>
      </c>
      <c r="J270" s="34" t="s">
        <v>698</v>
      </c>
      <c r="K270" s="38"/>
      <c r="L270" s="36" t="s">
        <v>695</v>
      </c>
      <c r="M270" s="36" t="s">
        <v>695</v>
      </c>
      <c r="N270" s="38"/>
      <c r="O270" s="38"/>
      <c r="P270" s="1"/>
      <c r="Q270" s="40"/>
    </row>
    <row r="271" spans="2:17" ht="16.5" x14ac:dyDescent="0.3">
      <c r="B271" s="33">
        <v>267</v>
      </c>
      <c r="C271" s="34" t="s">
        <v>694</v>
      </c>
      <c r="D271" s="35" t="s">
        <v>711</v>
      </c>
      <c r="E271" s="34" t="s">
        <v>696</v>
      </c>
      <c r="F271" s="36" t="s">
        <v>978</v>
      </c>
      <c r="G271" s="36" t="s">
        <v>1379</v>
      </c>
      <c r="H271" s="37">
        <v>4393</v>
      </c>
      <c r="I271" s="36" t="s">
        <v>697</v>
      </c>
      <c r="J271" s="34" t="s">
        <v>698</v>
      </c>
      <c r="K271" s="38"/>
      <c r="L271" s="36" t="s">
        <v>695</v>
      </c>
      <c r="M271" s="36" t="s">
        <v>695</v>
      </c>
      <c r="N271" s="38"/>
      <c r="O271" s="38"/>
      <c r="P271" s="1"/>
      <c r="Q271" s="40"/>
    </row>
    <row r="272" spans="2:17" ht="16.5" x14ac:dyDescent="0.3">
      <c r="B272" s="33">
        <v>268</v>
      </c>
      <c r="C272" s="34" t="s">
        <v>694</v>
      </c>
      <c r="D272" s="35" t="s">
        <v>711</v>
      </c>
      <c r="E272" s="34" t="s">
        <v>696</v>
      </c>
      <c r="F272" s="36" t="s">
        <v>979</v>
      </c>
      <c r="G272" s="36" t="s">
        <v>1379</v>
      </c>
      <c r="H272" s="37">
        <v>4393</v>
      </c>
      <c r="I272" s="36" t="s">
        <v>697</v>
      </c>
      <c r="J272" s="34" t="s">
        <v>698</v>
      </c>
      <c r="K272" s="38"/>
      <c r="L272" s="36" t="s">
        <v>695</v>
      </c>
      <c r="M272" s="36" t="s">
        <v>695</v>
      </c>
      <c r="N272" s="38"/>
      <c r="O272" s="38"/>
      <c r="P272" s="1"/>
      <c r="Q272" s="40"/>
    </row>
    <row r="273" spans="2:17" ht="16.5" x14ac:dyDescent="0.3">
      <c r="B273" s="33">
        <v>269</v>
      </c>
      <c r="C273" s="34" t="s">
        <v>694</v>
      </c>
      <c r="D273" s="35" t="s">
        <v>711</v>
      </c>
      <c r="E273" s="34" t="s">
        <v>696</v>
      </c>
      <c r="F273" s="36" t="s">
        <v>980</v>
      </c>
      <c r="G273" s="36" t="s">
        <v>705</v>
      </c>
      <c r="H273" s="37">
        <v>1100</v>
      </c>
      <c r="I273" s="36" t="s">
        <v>697</v>
      </c>
      <c r="J273" s="34" t="s">
        <v>698</v>
      </c>
      <c r="K273" s="38"/>
      <c r="L273" s="36" t="s">
        <v>695</v>
      </c>
      <c r="M273" s="36" t="s">
        <v>695</v>
      </c>
      <c r="N273" s="38"/>
      <c r="O273" s="38"/>
      <c r="P273" s="1"/>
      <c r="Q273" s="40"/>
    </row>
    <row r="274" spans="2:17" ht="16.5" x14ac:dyDescent="0.3">
      <c r="B274" s="33">
        <v>270</v>
      </c>
      <c r="C274" s="34" t="s">
        <v>694</v>
      </c>
      <c r="D274" s="35" t="s">
        <v>711</v>
      </c>
      <c r="E274" s="34" t="s">
        <v>696</v>
      </c>
      <c r="F274" s="36" t="s">
        <v>981</v>
      </c>
      <c r="G274" s="36" t="s">
        <v>1380</v>
      </c>
      <c r="H274" s="37">
        <v>1116</v>
      </c>
      <c r="I274" s="36" t="s">
        <v>697</v>
      </c>
      <c r="J274" s="34" t="s">
        <v>698</v>
      </c>
      <c r="K274" s="38"/>
      <c r="L274" s="36" t="s">
        <v>695</v>
      </c>
      <c r="M274" s="36" t="s">
        <v>695</v>
      </c>
      <c r="N274" s="38"/>
      <c r="O274" s="38"/>
      <c r="P274" s="1"/>
      <c r="Q274" s="40"/>
    </row>
    <row r="275" spans="2:17" ht="16.5" x14ac:dyDescent="0.3">
      <c r="B275" s="33">
        <v>271</v>
      </c>
      <c r="C275" s="34" t="s">
        <v>694</v>
      </c>
      <c r="D275" s="35" t="s">
        <v>711</v>
      </c>
      <c r="E275" s="34" t="s">
        <v>696</v>
      </c>
      <c r="F275" s="36" t="s">
        <v>982</v>
      </c>
      <c r="G275" s="36" t="s">
        <v>1381</v>
      </c>
      <c r="H275" s="37">
        <v>3000</v>
      </c>
      <c r="I275" s="36" t="s">
        <v>697</v>
      </c>
      <c r="J275" s="34" t="s">
        <v>698</v>
      </c>
      <c r="K275" s="38"/>
      <c r="L275" s="36" t="s">
        <v>695</v>
      </c>
      <c r="M275" s="36" t="s">
        <v>695</v>
      </c>
      <c r="N275" s="38"/>
      <c r="O275" s="38"/>
      <c r="P275" s="1"/>
      <c r="Q275" s="40"/>
    </row>
    <row r="276" spans="2:17" ht="16.5" x14ac:dyDescent="0.3">
      <c r="B276" s="33">
        <v>272</v>
      </c>
      <c r="C276" s="34" t="s">
        <v>694</v>
      </c>
      <c r="D276" s="35" t="s">
        <v>711</v>
      </c>
      <c r="E276" s="34" t="s">
        <v>696</v>
      </c>
      <c r="F276" s="36" t="s">
        <v>983</v>
      </c>
      <c r="G276" s="36" t="s">
        <v>1382</v>
      </c>
      <c r="H276" s="37">
        <v>18000</v>
      </c>
      <c r="I276" s="36" t="s">
        <v>697</v>
      </c>
      <c r="J276" s="34" t="s">
        <v>698</v>
      </c>
      <c r="K276" s="38"/>
      <c r="L276" s="36" t="s">
        <v>695</v>
      </c>
      <c r="M276" s="36" t="s">
        <v>695</v>
      </c>
      <c r="N276" s="38"/>
      <c r="O276" s="38"/>
      <c r="P276" s="1"/>
      <c r="Q276" s="40"/>
    </row>
    <row r="277" spans="2:17" ht="16.5" x14ac:dyDescent="0.3">
      <c r="B277" s="33">
        <v>273</v>
      </c>
      <c r="C277" s="34" t="s">
        <v>694</v>
      </c>
      <c r="D277" s="35" t="s">
        <v>711</v>
      </c>
      <c r="E277" s="34" t="s">
        <v>696</v>
      </c>
      <c r="F277" s="36" t="s">
        <v>984</v>
      </c>
      <c r="G277" s="36" t="s">
        <v>1383</v>
      </c>
      <c r="H277" s="37">
        <v>75313</v>
      </c>
      <c r="I277" s="36" t="s">
        <v>697</v>
      </c>
      <c r="J277" s="34" t="s">
        <v>698</v>
      </c>
      <c r="K277" s="38"/>
      <c r="L277" s="36" t="s">
        <v>695</v>
      </c>
      <c r="M277" s="36" t="s">
        <v>695</v>
      </c>
      <c r="N277" s="38"/>
      <c r="O277" s="38"/>
      <c r="P277" s="1"/>
      <c r="Q277" s="40"/>
    </row>
    <row r="278" spans="2:17" ht="16.5" x14ac:dyDescent="0.3">
      <c r="B278" s="33">
        <v>274</v>
      </c>
      <c r="C278" s="34" t="s">
        <v>694</v>
      </c>
      <c r="D278" s="35" t="s">
        <v>711</v>
      </c>
      <c r="E278" s="34" t="s">
        <v>696</v>
      </c>
      <c r="F278" s="36" t="s">
        <v>985</v>
      </c>
      <c r="G278" s="36" t="s">
        <v>1384</v>
      </c>
      <c r="H278" s="37">
        <v>3300</v>
      </c>
      <c r="I278" s="36" t="s">
        <v>697</v>
      </c>
      <c r="J278" s="34" t="s">
        <v>698</v>
      </c>
      <c r="K278" s="38"/>
      <c r="L278" s="36" t="s">
        <v>695</v>
      </c>
      <c r="M278" s="36" t="s">
        <v>695</v>
      </c>
      <c r="N278" s="38"/>
      <c r="O278" s="38"/>
      <c r="P278" s="1"/>
      <c r="Q278" s="40"/>
    </row>
    <row r="279" spans="2:17" ht="16.5" x14ac:dyDescent="0.3">
      <c r="B279" s="33">
        <v>275</v>
      </c>
      <c r="C279" s="34" t="s">
        <v>694</v>
      </c>
      <c r="D279" s="35" t="s">
        <v>711</v>
      </c>
      <c r="E279" s="34" t="s">
        <v>696</v>
      </c>
      <c r="F279" s="36" t="s">
        <v>986</v>
      </c>
      <c r="G279" s="36" t="s">
        <v>1385</v>
      </c>
      <c r="H279" s="37">
        <v>2170</v>
      </c>
      <c r="I279" s="36" t="s">
        <v>697</v>
      </c>
      <c r="J279" s="34" t="s">
        <v>698</v>
      </c>
      <c r="K279" s="38"/>
      <c r="L279" s="36" t="s">
        <v>695</v>
      </c>
      <c r="M279" s="36" t="s">
        <v>695</v>
      </c>
      <c r="N279" s="38"/>
      <c r="O279" s="38"/>
      <c r="P279" s="1"/>
      <c r="Q279" s="40"/>
    </row>
    <row r="280" spans="2:17" ht="16.5" x14ac:dyDescent="0.3">
      <c r="B280" s="33">
        <v>276</v>
      </c>
      <c r="C280" s="34" t="s">
        <v>694</v>
      </c>
      <c r="D280" s="35" t="s">
        <v>711</v>
      </c>
      <c r="E280" s="34" t="s">
        <v>696</v>
      </c>
      <c r="F280" s="36" t="s">
        <v>987</v>
      </c>
      <c r="G280" s="36" t="s">
        <v>1386</v>
      </c>
      <c r="H280" s="37">
        <v>3000</v>
      </c>
      <c r="I280" s="36" t="s">
        <v>697</v>
      </c>
      <c r="J280" s="34" t="s">
        <v>698</v>
      </c>
      <c r="K280" s="38"/>
      <c r="L280" s="36" t="s">
        <v>695</v>
      </c>
      <c r="M280" s="36" t="s">
        <v>695</v>
      </c>
      <c r="N280" s="38"/>
      <c r="O280" s="38"/>
      <c r="P280" s="1"/>
      <c r="Q280" s="40"/>
    </row>
    <row r="281" spans="2:17" ht="16.5" x14ac:dyDescent="0.3">
      <c r="B281" s="33">
        <v>277</v>
      </c>
      <c r="C281" s="34" t="s">
        <v>694</v>
      </c>
      <c r="D281" s="35" t="s">
        <v>711</v>
      </c>
      <c r="E281" s="34" t="s">
        <v>696</v>
      </c>
      <c r="F281" s="36" t="s">
        <v>988</v>
      </c>
      <c r="G281" s="36" t="s">
        <v>1387</v>
      </c>
      <c r="H281" s="37">
        <v>5029</v>
      </c>
      <c r="I281" s="36" t="s">
        <v>697</v>
      </c>
      <c r="J281" s="34" t="s">
        <v>698</v>
      </c>
      <c r="K281" s="38"/>
      <c r="L281" s="36" t="s">
        <v>695</v>
      </c>
      <c r="M281" s="36" t="s">
        <v>695</v>
      </c>
      <c r="N281" s="38"/>
      <c r="O281" s="38"/>
      <c r="P281" s="1"/>
      <c r="Q281" s="40"/>
    </row>
    <row r="282" spans="2:17" ht="16.5" x14ac:dyDescent="0.3">
      <c r="B282" s="33">
        <v>278</v>
      </c>
      <c r="C282" s="34" t="s">
        <v>694</v>
      </c>
      <c r="D282" s="35" t="s">
        <v>711</v>
      </c>
      <c r="E282" s="34" t="s">
        <v>696</v>
      </c>
      <c r="F282" s="36" t="s">
        <v>989</v>
      </c>
      <c r="G282" s="36" t="s">
        <v>1388</v>
      </c>
      <c r="H282" s="37">
        <v>2559</v>
      </c>
      <c r="I282" s="36" t="s">
        <v>697</v>
      </c>
      <c r="J282" s="34" t="s">
        <v>698</v>
      </c>
      <c r="K282" s="38"/>
      <c r="L282" s="36" t="s">
        <v>695</v>
      </c>
      <c r="M282" s="36" t="s">
        <v>695</v>
      </c>
      <c r="N282" s="38"/>
      <c r="O282" s="38"/>
      <c r="P282" s="1"/>
      <c r="Q282" s="40"/>
    </row>
    <row r="283" spans="2:17" ht="16.5" x14ac:dyDescent="0.3">
      <c r="B283" s="33">
        <v>279</v>
      </c>
      <c r="C283" s="34" t="s">
        <v>694</v>
      </c>
      <c r="D283" s="35" t="s">
        <v>711</v>
      </c>
      <c r="E283" s="34" t="s">
        <v>696</v>
      </c>
      <c r="F283" s="36" t="s">
        <v>990</v>
      </c>
      <c r="G283" s="36" t="s">
        <v>1389</v>
      </c>
      <c r="H283" s="37">
        <v>11679</v>
      </c>
      <c r="I283" s="36" t="s">
        <v>697</v>
      </c>
      <c r="J283" s="34" t="s">
        <v>698</v>
      </c>
      <c r="K283" s="38"/>
      <c r="L283" s="36" t="s">
        <v>695</v>
      </c>
      <c r="M283" s="36" t="s">
        <v>695</v>
      </c>
      <c r="N283" s="38"/>
      <c r="O283" s="38"/>
      <c r="P283" s="1"/>
      <c r="Q283" s="40"/>
    </row>
    <row r="284" spans="2:17" ht="16.5" x14ac:dyDescent="0.3">
      <c r="B284" s="33">
        <v>280</v>
      </c>
      <c r="C284" s="34" t="s">
        <v>694</v>
      </c>
      <c r="D284" s="35" t="s">
        <v>711</v>
      </c>
      <c r="E284" s="34" t="s">
        <v>696</v>
      </c>
      <c r="F284" s="36" t="s">
        <v>991</v>
      </c>
      <c r="G284" s="36" t="s">
        <v>1390</v>
      </c>
      <c r="H284" s="37">
        <v>5000</v>
      </c>
      <c r="I284" s="36" t="s">
        <v>697</v>
      </c>
      <c r="J284" s="34" t="s">
        <v>698</v>
      </c>
      <c r="K284" s="38"/>
      <c r="L284" s="36" t="s">
        <v>695</v>
      </c>
      <c r="M284" s="36" t="s">
        <v>695</v>
      </c>
      <c r="N284" s="38"/>
      <c r="O284" s="38"/>
      <c r="P284" s="1"/>
      <c r="Q284" s="40"/>
    </row>
    <row r="285" spans="2:17" ht="16.5" x14ac:dyDescent="0.3">
      <c r="B285" s="33">
        <v>281</v>
      </c>
      <c r="C285" s="34" t="s">
        <v>694</v>
      </c>
      <c r="D285" s="35" t="s">
        <v>711</v>
      </c>
      <c r="E285" s="34" t="s">
        <v>696</v>
      </c>
      <c r="F285" s="36" t="s">
        <v>992</v>
      </c>
      <c r="G285" s="36" t="s">
        <v>1391</v>
      </c>
      <c r="H285" s="37">
        <v>3841</v>
      </c>
      <c r="I285" s="36" t="s">
        <v>697</v>
      </c>
      <c r="J285" s="34" t="s">
        <v>698</v>
      </c>
      <c r="K285" s="38"/>
      <c r="L285" s="36" t="s">
        <v>695</v>
      </c>
      <c r="M285" s="36" t="s">
        <v>695</v>
      </c>
      <c r="N285" s="38"/>
      <c r="O285" s="38"/>
      <c r="P285" s="1"/>
      <c r="Q285" s="40"/>
    </row>
    <row r="286" spans="2:17" ht="16.5" x14ac:dyDescent="0.3">
      <c r="B286" s="33">
        <v>282</v>
      </c>
      <c r="C286" s="34" t="s">
        <v>694</v>
      </c>
      <c r="D286" s="35" t="s">
        <v>711</v>
      </c>
      <c r="E286" s="34" t="s">
        <v>696</v>
      </c>
      <c r="F286" s="36" t="s">
        <v>993</v>
      </c>
      <c r="G286" s="36" t="s">
        <v>1392</v>
      </c>
      <c r="H286" s="37">
        <v>5000</v>
      </c>
      <c r="I286" s="36" t="s">
        <v>697</v>
      </c>
      <c r="J286" s="34" t="s">
        <v>698</v>
      </c>
      <c r="K286" s="38"/>
      <c r="L286" s="36" t="s">
        <v>695</v>
      </c>
      <c r="M286" s="36" t="s">
        <v>695</v>
      </c>
      <c r="N286" s="38"/>
      <c r="O286" s="38"/>
      <c r="P286" s="1"/>
      <c r="Q286" s="40"/>
    </row>
    <row r="287" spans="2:17" ht="16.5" x14ac:dyDescent="0.3">
      <c r="B287" s="33">
        <v>283</v>
      </c>
      <c r="C287" s="34" t="s">
        <v>694</v>
      </c>
      <c r="D287" s="35" t="s">
        <v>711</v>
      </c>
      <c r="E287" s="34" t="s">
        <v>696</v>
      </c>
      <c r="F287" s="36" t="s">
        <v>994</v>
      </c>
      <c r="G287" s="36" t="s">
        <v>1393</v>
      </c>
      <c r="H287" s="37">
        <v>2000</v>
      </c>
      <c r="I287" s="36" t="s">
        <v>697</v>
      </c>
      <c r="J287" s="34" t="s">
        <v>698</v>
      </c>
      <c r="K287" s="38"/>
      <c r="L287" s="36" t="s">
        <v>695</v>
      </c>
      <c r="M287" s="36" t="s">
        <v>695</v>
      </c>
      <c r="N287" s="38"/>
      <c r="O287" s="38"/>
      <c r="P287" s="1"/>
      <c r="Q287" s="40"/>
    </row>
    <row r="288" spans="2:17" ht="16.5" x14ac:dyDescent="0.3">
      <c r="B288" s="33">
        <v>284</v>
      </c>
      <c r="C288" s="34" t="s">
        <v>694</v>
      </c>
      <c r="D288" s="35" t="s">
        <v>711</v>
      </c>
      <c r="E288" s="34" t="s">
        <v>696</v>
      </c>
      <c r="F288" s="36" t="s">
        <v>995</v>
      </c>
      <c r="G288" s="36" t="s">
        <v>1394</v>
      </c>
      <c r="H288" s="37">
        <v>3040</v>
      </c>
      <c r="I288" s="36" t="s">
        <v>697</v>
      </c>
      <c r="J288" s="34" t="s">
        <v>698</v>
      </c>
      <c r="K288" s="38"/>
      <c r="L288" s="36" t="s">
        <v>695</v>
      </c>
      <c r="M288" s="36" t="s">
        <v>695</v>
      </c>
      <c r="N288" s="38"/>
      <c r="O288" s="38"/>
      <c r="P288" s="1"/>
      <c r="Q288" s="40"/>
    </row>
    <row r="289" spans="2:17" ht="16.5" x14ac:dyDescent="0.3">
      <c r="B289" s="33">
        <v>285</v>
      </c>
      <c r="C289" s="34" t="s">
        <v>694</v>
      </c>
      <c r="D289" s="35" t="s">
        <v>711</v>
      </c>
      <c r="E289" s="34" t="s">
        <v>696</v>
      </c>
      <c r="F289" s="36" t="s">
        <v>996</v>
      </c>
      <c r="G289" s="36" t="s">
        <v>1395</v>
      </c>
      <c r="H289" s="37">
        <v>10292</v>
      </c>
      <c r="I289" s="36" t="s">
        <v>697</v>
      </c>
      <c r="J289" s="34" t="s">
        <v>698</v>
      </c>
      <c r="K289" s="38"/>
      <c r="L289" s="36" t="s">
        <v>695</v>
      </c>
      <c r="M289" s="36" t="s">
        <v>695</v>
      </c>
      <c r="N289" s="38"/>
      <c r="O289" s="38"/>
      <c r="P289" s="1"/>
      <c r="Q289" s="40"/>
    </row>
    <row r="290" spans="2:17" ht="16.5" x14ac:dyDescent="0.3">
      <c r="B290" s="33">
        <v>286</v>
      </c>
      <c r="C290" s="34" t="s">
        <v>694</v>
      </c>
      <c r="D290" s="35" t="s">
        <v>711</v>
      </c>
      <c r="E290" s="34" t="s">
        <v>696</v>
      </c>
      <c r="F290" s="36" t="s">
        <v>997</v>
      </c>
      <c r="G290" s="36" t="s">
        <v>1396</v>
      </c>
      <c r="H290" s="37">
        <v>2977</v>
      </c>
      <c r="I290" s="36" t="s">
        <v>697</v>
      </c>
      <c r="J290" s="34" t="s">
        <v>698</v>
      </c>
      <c r="K290" s="38"/>
      <c r="L290" s="36" t="s">
        <v>695</v>
      </c>
      <c r="M290" s="36" t="s">
        <v>695</v>
      </c>
      <c r="N290" s="38"/>
      <c r="O290" s="38"/>
      <c r="P290" s="1"/>
      <c r="Q290" s="40"/>
    </row>
    <row r="291" spans="2:17" ht="16.5" x14ac:dyDescent="0.3">
      <c r="B291" s="33">
        <v>287</v>
      </c>
      <c r="C291" s="34" t="s">
        <v>694</v>
      </c>
      <c r="D291" s="35" t="s">
        <v>711</v>
      </c>
      <c r="E291" s="34" t="s">
        <v>696</v>
      </c>
      <c r="F291" s="36" t="s">
        <v>998</v>
      </c>
      <c r="G291" s="36" t="s">
        <v>1397</v>
      </c>
      <c r="H291" s="37">
        <v>3000</v>
      </c>
      <c r="I291" s="36" t="s">
        <v>697</v>
      </c>
      <c r="J291" s="34" t="s">
        <v>698</v>
      </c>
      <c r="K291" s="38"/>
      <c r="L291" s="36" t="s">
        <v>695</v>
      </c>
      <c r="M291" s="36" t="s">
        <v>695</v>
      </c>
      <c r="N291" s="38"/>
      <c r="O291" s="38"/>
      <c r="P291" s="1"/>
      <c r="Q291" s="40"/>
    </row>
    <row r="292" spans="2:17" ht="16.5" x14ac:dyDescent="0.3">
      <c r="B292" s="33">
        <v>288</v>
      </c>
      <c r="C292" s="34" t="s">
        <v>694</v>
      </c>
      <c r="D292" s="35" t="s">
        <v>711</v>
      </c>
      <c r="E292" s="34" t="s">
        <v>696</v>
      </c>
      <c r="F292" s="36" t="s">
        <v>999</v>
      </c>
      <c r="G292" s="36" t="s">
        <v>1398</v>
      </c>
      <c r="H292" s="37">
        <v>75665</v>
      </c>
      <c r="I292" s="36" t="s">
        <v>701</v>
      </c>
      <c r="J292" s="34" t="s">
        <v>698</v>
      </c>
      <c r="K292" s="38"/>
      <c r="L292" s="36" t="s">
        <v>695</v>
      </c>
      <c r="M292" s="36" t="s">
        <v>695</v>
      </c>
      <c r="N292" s="38"/>
      <c r="O292" s="38"/>
      <c r="P292" s="1"/>
      <c r="Q292" s="40"/>
    </row>
    <row r="293" spans="2:17" ht="16.5" x14ac:dyDescent="0.3">
      <c r="B293" s="33">
        <v>289</v>
      </c>
      <c r="C293" s="34" t="s">
        <v>694</v>
      </c>
      <c r="D293" s="35" t="s">
        <v>711</v>
      </c>
      <c r="E293" s="34" t="s">
        <v>696</v>
      </c>
      <c r="F293" s="36" t="s">
        <v>1000</v>
      </c>
      <c r="G293" s="36" t="s">
        <v>1399</v>
      </c>
      <c r="H293" s="37">
        <v>3845</v>
      </c>
      <c r="I293" s="36" t="s">
        <v>697</v>
      </c>
      <c r="J293" s="34" t="s">
        <v>698</v>
      </c>
      <c r="K293" s="38"/>
      <c r="L293" s="36" t="s">
        <v>695</v>
      </c>
      <c r="M293" s="36" t="s">
        <v>695</v>
      </c>
      <c r="N293" s="38"/>
      <c r="O293" s="38"/>
      <c r="P293" s="1"/>
      <c r="Q293" s="40"/>
    </row>
    <row r="294" spans="2:17" ht="16.5" x14ac:dyDescent="0.3">
      <c r="B294" s="33">
        <v>290</v>
      </c>
      <c r="C294" s="34" t="s">
        <v>694</v>
      </c>
      <c r="D294" s="35" t="s">
        <v>711</v>
      </c>
      <c r="E294" s="34" t="s">
        <v>696</v>
      </c>
      <c r="F294" s="36" t="s">
        <v>1001</v>
      </c>
      <c r="G294" s="36" t="s">
        <v>1400</v>
      </c>
      <c r="H294" s="37">
        <v>2448</v>
      </c>
      <c r="I294" s="36" t="s">
        <v>697</v>
      </c>
      <c r="J294" s="34" t="s">
        <v>698</v>
      </c>
      <c r="K294" s="38"/>
      <c r="L294" s="36" t="s">
        <v>695</v>
      </c>
      <c r="M294" s="36" t="s">
        <v>695</v>
      </c>
      <c r="N294" s="38"/>
      <c r="O294" s="38"/>
      <c r="P294" s="1"/>
      <c r="Q294" s="40"/>
    </row>
    <row r="295" spans="2:17" ht="16.5" x14ac:dyDescent="0.3">
      <c r="B295" s="33">
        <v>291</v>
      </c>
      <c r="C295" s="34" t="s">
        <v>694</v>
      </c>
      <c r="D295" s="35" t="s">
        <v>711</v>
      </c>
      <c r="E295" s="34" t="s">
        <v>696</v>
      </c>
      <c r="F295" s="36" t="s">
        <v>1002</v>
      </c>
      <c r="G295" s="36" t="s">
        <v>1401</v>
      </c>
      <c r="H295" s="37">
        <v>5774</v>
      </c>
      <c r="I295" s="36" t="s">
        <v>697</v>
      </c>
      <c r="J295" s="34" t="s">
        <v>698</v>
      </c>
      <c r="K295" s="38"/>
      <c r="L295" s="36" t="s">
        <v>695</v>
      </c>
      <c r="M295" s="36" t="s">
        <v>695</v>
      </c>
      <c r="N295" s="38"/>
      <c r="O295" s="38"/>
      <c r="P295" s="1"/>
      <c r="Q295" s="40"/>
    </row>
    <row r="296" spans="2:17" ht="16.5" x14ac:dyDescent="0.3">
      <c r="B296" s="33">
        <v>292</v>
      </c>
      <c r="C296" s="34" t="s">
        <v>694</v>
      </c>
      <c r="D296" s="35" t="s">
        <v>711</v>
      </c>
      <c r="E296" s="34" t="s">
        <v>696</v>
      </c>
      <c r="F296" s="36" t="s">
        <v>1003</v>
      </c>
      <c r="G296" s="36" t="s">
        <v>1402</v>
      </c>
      <c r="H296" s="37">
        <v>20017</v>
      </c>
      <c r="I296" s="36" t="s">
        <v>697</v>
      </c>
      <c r="J296" s="34" t="s">
        <v>698</v>
      </c>
      <c r="K296" s="38"/>
      <c r="L296" s="36" t="s">
        <v>695</v>
      </c>
      <c r="M296" s="36" t="s">
        <v>695</v>
      </c>
      <c r="N296" s="38"/>
      <c r="O296" s="38"/>
      <c r="P296" s="1"/>
      <c r="Q296" s="40"/>
    </row>
    <row r="297" spans="2:17" ht="16.5" x14ac:dyDescent="0.3">
      <c r="B297" s="33">
        <v>293</v>
      </c>
      <c r="C297" s="34" t="s">
        <v>694</v>
      </c>
      <c r="D297" s="35" t="s">
        <v>711</v>
      </c>
      <c r="E297" s="34" t="s">
        <v>696</v>
      </c>
      <c r="F297" s="36" t="s">
        <v>1004</v>
      </c>
      <c r="G297" s="36" t="s">
        <v>1403</v>
      </c>
      <c r="H297" s="37">
        <v>15213</v>
      </c>
      <c r="I297" s="36" t="s">
        <v>697</v>
      </c>
      <c r="J297" s="34" t="s">
        <v>698</v>
      </c>
      <c r="K297" s="38"/>
      <c r="L297" s="36" t="s">
        <v>695</v>
      </c>
      <c r="M297" s="36" t="s">
        <v>695</v>
      </c>
      <c r="N297" s="38"/>
      <c r="O297" s="38"/>
      <c r="P297" s="1"/>
      <c r="Q297" s="40"/>
    </row>
    <row r="298" spans="2:17" ht="16.5" x14ac:dyDescent="0.3">
      <c r="B298" s="33">
        <v>294</v>
      </c>
      <c r="C298" s="34" t="s">
        <v>694</v>
      </c>
      <c r="D298" s="35" t="s">
        <v>711</v>
      </c>
      <c r="E298" s="34" t="s">
        <v>696</v>
      </c>
      <c r="F298" s="36" t="s">
        <v>1005</v>
      </c>
      <c r="G298" s="36" t="s">
        <v>1404</v>
      </c>
      <c r="H298" s="37">
        <v>2654</v>
      </c>
      <c r="I298" s="36" t="s">
        <v>697</v>
      </c>
      <c r="J298" s="34" t="s">
        <v>698</v>
      </c>
      <c r="K298" s="38"/>
      <c r="L298" s="36" t="s">
        <v>695</v>
      </c>
      <c r="M298" s="36" t="s">
        <v>695</v>
      </c>
      <c r="N298" s="38"/>
      <c r="O298" s="38"/>
      <c r="P298" s="1"/>
      <c r="Q298" s="40"/>
    </row>
    <row r="299" spans="2:17" ht="16.5" x14ac:dyDescent="0.3">
      <c r="B299" s="33">
        <v>295</v>
      </c>
      <c r="C299" s="34" t="s">
        <v>694</v>
      </c>
      <c r="D299" s="35" t="s">
        <v>711</v>
      </c>
      <c r="E299" s="34" t="s">
        <v>696</v>
      </c>
      <c r="F299" s="36" t="s">
        <v>1006</v>
      </c>
      <c r="G299" s="36" t="s">
        <v>1405</v>
      </c>
      <c r="H299" s="37">
        <v>11441</v>
      </c>
      <c r="I299" s="36" t="s">
        <v>697</v>
      </c>
      <c r="J299" s="34" t="s">
        <v>698</v>
      </c>
      <c r="K299" s="38"/>
      <c r="L299" s="36" t="s">
        <v>695</v>
      </c>
      <c r="M299" s="36" t="s">
        <v>695</v>
      </c>
      <c r="N299" s="38"/>
      <c r="O299" s="38"/>
      <c r="P299" s="1"/>
      <c r="Q299" s="40"/>
    </row>
    <row r="300" spans="2:17" ht="16.5" x14ac:dyDescent="0.3">
      <c r="B300" s="33">
        <v>296</v>
      </c>
      <c r="C300" s="34" t="s">
        <v>694</v>
      </c>
      <c r="D300" s="35" t="s">
        <v>711</v>
      </c>
      <c r="E300" s="34" t="s">
        <v>696</v>
      </c>
      <c r="F300" s="36" t="s">
        <v>1007</v>
      </c>
      <c r="G300" s="36" t="s">
        <v>1406</v>
      </c>
      <c r="H300" s="37">
        <v>2018</v>
      </c>
      <c r="I300" s="36" t="s">
        <v>697</v>
      </c>
      <c r="J300" s="34" t="s">
        <v>698</v>
      </c>
      <c r="K300" s="38"/>
      <c r="L300" s="36" t="s">
        <v>695</v>
      </c>
      <c r="M300" s="36" t="s">
        <v>695</v>
      </c>
      <c r="N300" s="38"/>
      <c r="O300" s="38"/>
      <c r="P300" s="1"/>
      <c r="Q300" s="40"/>
    </row>
    <row r="301" spans="2:17" ht="16.5" x14ac:dyDescent="0.3">
      <c r="B301" s="33">
        <v>297</v>
      </c>
      <c r="C301" s="34" t="s">
        <v>694</v>
      </c>
      <c r="D301" s="35" t="s">
        <v>711</v>
      </c>
      <c r="E301" s="34" t="s">
        <v>696</v>
      </c>
      <c r="F301" s="36" t="s">
        <v>1008</v>
      </c>
      <c r="G301" s="36" t="s">
        <v>1407</v>
      </c>
      <c r="H301" s="37">
        <v>3550</v>
      </c>
      <c r="I301" s="36" t="s">
        <v>697</v>
      </c>
      <c r="J301" s="34" t="s">
        <v>698</v>
      </c>
      <c r="K301" s="38"/>
      <c r="L301" s="36" t="s">
        <v>695</v>
      </c>
      <c r="M301" s="36" t="s">
        <v>695</v>
      </c>
      <c r="N301" s="38"/>
      <c r="O301" s="38"/>
      <c r="P301" s="1"/>
      <c r="Q301" s="40"/>
    </row>
    <row r="302" spans="2:17" ht="16.5" x14ac:dyDescent="0.3">
      <c r="B302" s="33">
        <v>298</v>
      </c>
      <c r="C302" s="34" t="s">
        <v>694</v>
      </c>
      <c r="D302" s="35" t="s">
        <v>711</v>
      </c>
      <c r="E302" s="34" t="s">
        <v>696</v>
      </c>
      <c r="F302" s="36" t="s">
        <v>1009</v>
      </c>
      <c r="G302" s="36" t="s">
        <v>1408</v>
      </c>
      <c r="H302" s="37">
        <v>2309</v>
      </c>
      <c r="I302" s="36" t="s">
        <v>697</v>
      </c>
      <c r="J302" s="34" t="s">
        <v>698</v>
      </c>
      <c r="K302" s="38"/>
      <c r="L302" s="36" t="s">
        <v>695</v>
      </c>
      <c r="M302" s="36" t="s">
        <v>695</v>
      </c>
      <c r="N302" s="38"/>
      <c r="O302" s="38"/>
      <c r="P302" s="1"/>
      <c r="Q302" s="40"/>
    </row>
    <row r="303" spans="2:17" ht="16.5" x14ac:dyDescent="0.3">
      <c r="B303" s="33">
        <v>299</v>
      </c>
      <c r="C303" s="34" t="s">
        <v>694</v>
      </c>
      <c r="D303" s="35" t="s">
        <v>711</v>
      </c>
      <c r="E303" s="34" t="s">
        <v>696</v>
      </c>
      <c r="F303" s="36" t="s">
        <v>1010</v>
      </c>
      <c r="G303" s="36" t="s">
        <v>1409</v>
      </c>
      <c r="H303" s="37">
        <v>2100</v>
      </c>
      <c r="I303" s="36" t="s">
        <v>697</v>
      </c>
      <c r="J303" s="34" t="s">
        <v>698</v>
      </c>
      <c r="K303" s="38"/>
      <c r="L303" s="36" t="s">
        <v>695</v>
      </c>
      <c r="M303" s="36" t="s">
        <v>695</v>
      </c>
      <c r="N303" s="38"/>
      <c r="O303" s="38"/>
      <c r="P303" s="1"/>
      <c r="Q303" s="40"/>
    </row>
    <row r="304" spans="2:17" ht="16.5" x14ac:dyDescent="0.3">
      <c r="B304" s="33">
        <v>300</v>
      </c>
      <c r="C304" s="34" t="s">
        <v>694</v>
      </c>
      <c r="D304" s="35" t="s">
        <v>711</v>
      </c>
      <c r="E304" s="34" t="s">
        <v>696</v>
      </c>
      <c r="F304" s="36" t="s">
        <v>1011</v>
      </c>
      <c r="G304" s="36" t="s">
        <v>1410</v>
      </c>
      <c r="H304" s="37">
        <v>4931</v>
      </c>
      <c r="I304" s="36" t="s">
        <v>697</v>
      </c>
      <c r="J304" s="34" t="s">
        <v>698</v>
      </c>
      <c r="K304" s="38"/>
      <c r="L304" s="36" t="s">
        <v>695</v>
      </c>
      <c r="M304" s="36" t="s">
        <v>695</v>
      </c>
      <c r="N304" s="38"/>
      <c r="O304" s="38"/>
      <c r="P304" s="1"/>
      <c r="Q304" s="40"/>
    </row>
    <row r="305" spans="2:17" ht="16.5" x14ac:dyDescent="0.3">
      <c r="B305" s="33">
        <v>301</v>
      </c>
      <c r="C305" s="34" t="s">
        <v>694</v>
      </c>
      <c r="D305" s="35" t="s">
        <v>711</v>
      </c>
      <c r="E305" s="34" t="s">
        <v>696</v>
      </c>
      <c r="F305" s="36" t="s">
        <v>1012</v>
      </c>
      <c r="G305" s="36" t="s">
        <v>1411</v>
      </c>
      <c r="H305" s="37">
        <v>5203</v>
      </c>
      <c r="I305" s="36" t="s">
        <v>697</v>
      </c>
      <c r="J305" s="34" t="s">
        <v>698</v>
      </c>
      <c r="K305" s="38"/>
      <c r="L305" s="36" t="s">
        <v>695</v>
      </c>
      <c r="M305" s="36" t="s">
        <v>695</v>
      </c>
      <c r="N305" s="38"/>
      <c r="O305" s="38"/>
      <c r="P305" s="1"/>
      <c r="Q305" s="40"/>
    </row>
    <row r="306" spans="2:17" ht="16.5" x14ac:dyDescent="0.3">
      <c r="B306" s="33">
        <v>302</v>
      </c>
      <c r="C306" s="34" t="s">
        <v>694</v>
      </c>
      <c r="D306" s="35" t="s">
        <v>711</v>
      </c>
      <c r="E306" s="34" t="s">
        <v>696</v>
      </c>
      <c r="F306" s="36" t="s">
        <v>1013</v>
      </c>
      <c r="G306" s="36" t="s">
        <v>1412</v>
      </c>
      <c r="H306" s="37">
        <v>25981</v>
      </c>
      <c r="I306" s="36" t="s">
        <v>697</v>
      </c>
      <c r="J306" s="34" t="s">
        <v>698</v>
      </c>
      <c r="K306" s="38"/>
      <c r="L306" s="36" t="s">
        <v>695</v>
      </c>
      <c r="M306" s="36" t="s">
        <v>695</v>
      </c>
      <c r="N306" s="38"/>
      <c r="O306" s="38"/>
      <c r="P306" s="1"/>
      <c r="Q306" s="40"/>
    </row>
    <row r="307" spans="2:17" ht="16.5" x14ac:dyDescent="0.3">
      <c r="B307" s="33">
        <v>303</v>
      </c>
      <c r="C307" s="34" t="s">
        <v>694</v>
      </c>
      <c r="D307" s="35" t="s">
        <v>711</v>
      </c>
      <c r="E307" s="34" t="s">
        <v>696</v>
      </c>
      <c r="F307" s="36" t="s">
        <v>1014</v>
      </c>
      <c r="G307" s="36" t="s">
        <v>1413</v>
      </c>
      <c r="H307" s="37">
        <v>15000</v>
      </c>
      <c r="I307" s="36" t="s">
        <v>697</v>
      </c>
      <c r="J307" s="34" t="s">
        <v>698</v>
      </c>
      <c r="K307" s="38"/>
      <c r="L307" s="36" t="s">
        <v>695</v>
      </c>
      <c r="M307" s="36" t="s">
        <v>695</v>
      </c>
      <c r="N307" s="38"/>
      <c r="O307" s="38"/>
      <c r="P307" s="1"/>
      <c r="Q307" s="40"/>
    </row>
    <row r="308" spans="2:17" ht="16.5" x14ac:dyDescent="0.3">
      <c r="B308" s="33">
        <v>304</v>
      </c>
      <c r="C308" s="34" t="s">
        <v>694</v>
      </c>
      <c r="D308" s="35" t="s">
        <v>711</v>
      </c>
      <c r="E308" s="34" t="s">
        <v>696</v>
      </c>
      <c r="F308" s="36" t="s">
        <v>1015</v>
      </c>
      <c r="G308" s="36" t="s">
        <v>1414</v>
      </c>
      <c r="H308" s="37">
        <v>3415</v>
      </c>
      <c r="I308" s="36" t="s">
        <v>697</v>
      </c>
      <c r="J308" s="34" t="s">
        <v>698</v>
      </c>
      <c r="K308" s="38"/>
      <c r="L308" s="36" t="s">
        <v>695</v>
      </c>
      <c r="M308" s="36" t="s">
        <v>695</v>
      </c>
      <c r="N308" s="38"/>
      <c r="O308" s="38"/>
      <c r="P308" s="1"/>
      <c r="Q308" s="40"/>
    </row>
    <row r="309" spans="2:17" ht="16.5" x14ac:dyDescent="0.3">
      <c r="B309" s="33">
        <v>305</v>
      </c>
      <c r="C309" s="34" t="s">
        <v>694</v>
      </c>
      <c r="D309" s="35" t="s">
        <v>711</v>
      </c>
      <c r="E309" s="34" t="s">
        <v>696</v>
      </c>
      <c r="F309" s="36" t="s">
        <v>1016</v>
      </c>
      <c r="G309" s="36" t="s">
        <v>706</v>
      </c>
      <c r="H309" s="37">
        <v>2728</v>
      </c>
      <c r="I309" s="36" t="s">
        <v>697</v>
      </c>
      <c r="J309" s="34" t="s">
        <v>698</v>
      </c>
      <c r="K309" s="38"/>
      <c r="L309" s="36" t="s">
        <v>695</v>
      </c>
      <c r="M309" s="36" t="s">
        <v>695</v>
      </c>
      <c r="N309" s="38"/>
      <c r="O309" s="38"/>
      <c r="P309" s="1"/>
      <c r="Q309" s="40"/>
    </row>
    <row r="310" spans="2:17" ht="16.5" x14ac:dyDescent="0.3">
      <c r="B310" s="33">
        <v>306</v>
      </c>
      <c r="C310" s="34" t="s">
        <v>694</v>
      </c>
      <c r="D310" s="35" t="s">
        <v>711</v>
      </c>
      <c r="E310" s="34" t="s">
        <v>696</v>
      </c>
      <c r="F310" s="36" t="s">
        <v>1017</v>
      </c>
      <c r="G310" s="36" t="s">
        <v>1415</v>
      </c>
      <c r="H310" s="37">
        <v>5200</v>
      </c>
      <c r="I310" s="36" t="s">
        <v>697</v>
      </c>
      <c r="J310" s="34" t="s">
        <v>698</v>
      </c>
      <c r="K310" s="38"/>
      <c r="L310" s="36" t="s">
        <v>695</v>
      </c>
      <c r="M310" s="36" t="s">
        <v>695</v>
      </c>
      <c r="N310" s="38"/>
      <c r="O310" s="38"/>
      <c r="P310" s="1"/>
      <c r="Q310" s="40"/>
    </row>
    <row r="311" spans="2:17" ht="16.5" x14ac:dyDescent="0.3">
      <c r="B311" s="33">
        <v>307</v>
      </c>
      <c r="C311" s="34" t="s">
        <v>694</v>
      </c>
      <c r="D311" s="35" t="s">
        <v>711</v>
      </c>
      <c r="E311" s="34" t="s">
        <v>696</v>
      </c>
      <c r="F311" s="36" t="s">
        <v>1018</v>
      </c>
      <c r="G311" s="36" t="s">
        <v>1415</v>
      </c>
      <c r="H311" s="37">
        <v>5200</v>
      </c>
      <c r="I311" s="36" t="s">
        <v>697</v>
      </c>
      <c r="J311" s="34" t="s">
        <v>698</v>
      </c>
      <c r="K311" s="38"/>
      <c r="L311" s="36" t="s">
        <v>695</v>
      </c>
      <c r="M311" s="36" t="s">
        <v>695</v>
      </c>
      <c r="N311" s="38"/>
      <c r="O311" s="38"/>
      <c r="P311" s="1"/>
      <c r="Q311" s="40"/>
    </row>
    <row r="312" spans="2:17" ht="16.5" x14ac:dyDescent="0.3">
      <c r="B312" s="33">
        <v>308</v>
      </c>
      <c r="C312" s="34" t="s">
        <v>694</v>
      </c>
      <c r="D312" s="35" t="s">
        <v>711</v>
      </c>
      <c r="E312" s="34" t="s">
        <v>696</v>
      </c>
      <c r="F312" s="36" t="s">
        <v>1019</v>
      </c>
      <c r="G312" s="36" t="s">
        <v>1416</v>
      </c>
      <c r="H312" s="37">
        <v>5195</v>
      </c>
      <c r="I312" s="36" t="s">
        <v>697</v>
      </c>
      <c r="J312" s="34" t="s">
        <v>698</v>
      </c>
      <c r="K312" s="38"/>
      <c r="L312" s="36" t="s">
        <v>695</v>
      </c>
      <c r="M312" s="36" t="s">
        <v>695</v>
      </c>
      <c r="N312" s="38"/>
      <c r="O312" s="38"/>
      <c r="P312" s="1"/>
      <c r="Q312" s="40"/>
    </row>
    <row r="313" spans="2:17" ht="16.5" x14ac:dyDescent="0.3">
      <c r="B313" s="33">
        <v>309</v>
      </c>
      <c r="C313" s="34" t="s">
        <v>694</v>
      </c>
      <c r="D313" s="35" t="s">
        <v>711</v>
      </c>
      <c r="E313" s="34" t="s">
        <v>696</v>
      </c>
      <c r="F313" s="36" t="s">
        <v>1020</v>
      </c>
      <c r="G313" s="36" t="s">
        <v>1417</v>
      </c>
      <c r="H313" s="37">
        <v>2319</v>
      </c>
      <c r="I313" s="36" t="s">
        <v>697</v>
      </c>
      <c r="J313" s="34" t="s">
        <v>698</v>
      </c>
      <c r="K313" s="38"/>
      <c r="L313" s="36" t="s">
        <v>695</v>
      </c>
      <c r="M313" s="36" t="s">
        <v>695</v>
      </c>
      <c r="N313" s="38"/>
      <c r="O313" s="38"/>
      <c r="P313" s="1"/>
      <c r="Q313" s="40"/>
    </row>
    <row r="314" spans="2:17" ht="16.5" x14ac:dyDescent="0.3">
      <c r="B314" s="33">
        <v>310</v>
      </c>
      <c r="C314" s="34" t="s">
        <v>694</v>
      </c>
      <c r="D314" s="35" t="s">
        <v>711</v>
      </c>
      <c r="E314" s="34" t="s">
        <v>696</v>
      </c>
      <c r="F314" s="36" t="s">
        <v>1021</v>
      </c>
      <c r="G314" s="36" t="s">
        <v>1418</v>
      </c>
      <c r="H314" s="37">
        <v>3172</v>
      </c>
      <c r="I314" s="36" t="s">
        <v>697</v>
      </c>
      <c r="J314" s="34" t="s">
        <v>698</v>
      </c>
      <c r="K314" s="38"/>
      <c r="L314" s="36" t="s">
        <v>695</v>
      </c>
      <c r="M314" s="36" t="s">
        <v>695</v>
      </c>
      <c r="N314" s="38"/>
      <c r="O314" s="38"/>
      <c r="P314" s="1"/>
      <c r="Q314" s="40"/>
    </row>
    <row r="315" spans="2:17" ht="16.5" x14ac:dyDescent="0.3">
      <c r="B315" s="33">
        <v>311</v>
      </c>
      <c r="C315" s="34" t="s">
        <v>694</v>
      </c>
      <c r="D315" s="35" t="s">
        <v>711</v>
      </c>
      <c r="E315" s="34" t="s">
        <v>696</v>
      </c>
      <c r="F315" s="36" t="s">
        <v>1022</v>
      </c>
      <c r="G315" s="36" t="s">
        <v>1419</v>
      </c>
      <c r="H315" s="37">
        <v>3237</v>
      </c>
      <c r="I315" s="36" t="s">
        <v>697</v>
      </c>
      <c r="J315" s="34" t="s">
        <v>698</v>
      </c>
      <c r="K315" s="38"/>
      <c r="L315" s="36" t="s">
        <v>695</v>
      </c>
      <c r="M315" s="36" t="s">
        <v>695</v>
      </c>
      <c r="N315" s="38"/>
      <c r="O315" s="38"/>
      <c r="P315" s="1"/>
      <c r="Q315" s="40"/>
    </row>
    <row r="316" spans="2:17" ht="16.5" x14ac:dyDescent="0.3">
      <c r="B316" s="33">
        <v>312</v>
      </c>
      <c r="C316" s="34" t="s">
        <v>694</v>
      </c>
      <c r="D316" s="35" t="s">
        <v>711</v>
      </c>
      <c r="E316" s="34" t="s">
        <v>696</v>
      </c>
      <c r="F316" s="36" t="s">
        <v>1023</v>
      </c>
      <c r="G316" s="36" t="s">
        <v>1420</v>
      </c>
      <c r="H316" s="37">
        <v>6000</v>
      </c>
      <c r="I316" s="36" t="s">
        <v>697</v>
      </c>
      <c r="J316" s="34" t="s">
        <v>698</v>
      </c>
      <c r="K316" s="38"/>
      <c r="L316" s="36" t="s">
        <v>695</v>
      </c>
      <c r="M316" s="36" t="s">
        <v>695</v>
      </c>
      <c r="N316" s="38"/>
      <c r="O316" s="38"/>
      <c r="P316" s="1"/>
      <c r="Q316" s="40"/>
    </row>
    <row r="317" spans="2:17" ht="16.5" x14ac:dyDescent="0.3">
      <c r="B317" s="33">
        <v>313</v>
      </c>
      <c r="C317" s="34" t="s">
        <v>694</v>
      </c>
      <c r="D317" s="35" t="s">
        <v>711</v>
      </c>
      <c r="E317" s="34" t="s">
        <v>696</v>
      </c>
      <c r="F317" s="36" t="s">
        <v>1024</v>
      </c>
      <c r="G317" s="36" t="s">
        <v>1421</v>
      </c>
      <c r="H317" s="37">
        <v>4000</v>
      </c>
      <c r="I317" s="36" t="s">
        <v>697</v>
      </c>
      <c r="J317" s="34" t="s">
        <v>698</v>
      </c>
      <c r="K317" s="38"/>
      <c r="L317" s="36" t="s">
        <v>695</v>
      </c>
      <c r="M317" s="36" t="s">
        <v>695</v>
      </c>
      <c r="N317" s="38"/>
      <c r="O317" s="38"/>
      <c r="P317" s="1"/>
      <c r="Q317" s="40"/>
    </row>
    <row r="318" spans="2:17" ht="16.5" x14ac:dyDescent="0.3">
      <c r="B318" s="33">
        <v>314</v>
      </c>
      <c r="C318" s="34" t="s">
        <v>694</v>
      </c>
      <c r="D318" s="35" t="s">
        <v>711</v>
      </c>
      <c r="E318" s="34" t="s">
        <v>696</v>
      </c>
      <c r="F318" s="36" t="s">
        <v>1025</v>
      </c>
      <c r="G318" s="36" t="s">
        <v>1422</v>
      </c>
      <c r="H318" s="37">
        <v>3542</v>
      </c>
      <c r="I318" s="36" t="s">
        <v>697</v>
      </c>
      <c r="J318" s="34" t="s">
        <v>698</v>
      </c>
      <c r="K318" s="38"/>
      <c r="L318" s="36" t="s">
        <v>695</v>
      </c>
      <c r="M318" s="36" t="s">
        <v>695</v>
      </c>
      <c r="N318" s="38"/>
      <c r="O318" s="38"/>
      <c r="P318" s="1"/>
      <c r="Q318" s="40"/>
    </row>
    <row r="319" spans="2:17" ht="16.5" x14ac:dyDescent="0.3">
      <c r="B319" s="33">
        <v>315</v>
      </c>
      <c r="C319" s="34" t="s">
        <v>694</v>
      </c>
      <c r="D319" s="35" t="s">
        <v>711</v>
      </c>
      <c r="E319" s="34" t="s">
        <v>696</v>
      </c>
      <c r="F319" s="36" t="s">
        <v>1026</v>
      </c>
      <c r="G319" s="36" t="s">
        <v>1423</v>
      </c>
      <c r="H319" s="37">
        <v>3300</v>
      </c>
      <c r="I319" s="36" t="s">
        <v>701</v>
      </c>
      <c r="J319" s="34" t="s">
        <v>698</v>
      </c>
      <c r="K319" s="38"/>
      <c r="L319" s="36" t="s">
        <v>695</v>
      </c>
      <c r="M319" s="36" t="s">
        <v>695</v>
      </c>
      <c r="N319" s="38"/>
      <c r="O319" s="38"/>
      <c r="P319" s="1"/>
      <c r="Q319" s="40"/>
    </row>
    <row r="320" spans="2:17" ht="16.5" x14ac:dyDescent="0.3">
      <c r="B320" s="33">
        <v>316</v>
      </c>
      <c r="C320" s="34" t="s">
        <v>694</v>
      </c>
      <c r="D320" s="35" t="s">
        <v>711</v>
      </c>
      <c r="E320" s="34" t="s">
        <v>696</v>
      </c>
      <c r="F320" s="36" t="s">
        <v>1027</v>
      </c>
      <c r="G320" s="36" t="s">
        <v>1424</v>
      </c>
      <c r="H320" s="37">
        <v>3675</v>
      </c>
      <c r="I320" s="36" t="s">
        <v>697</v>
      </c>
      <c r="J320" s="34" t="s">
        <v>698</v>
      </c>
      <c r="K320" s="38"/>
      <c r="L320" s="36" t="s">
        <v>695</v>
      </c>
      <c r="M320" s="36" t="s">
        <v>695</v>
      </c>
      <c r="N320" s="38"/>
      <c r="O320" s="38"/>
      <c r="P320" s="1"/>
      <c r="Q320" s="40"/>
    </row>
    <row r="321" spans="2:17" ht="16.5" x14ac:dyDescent="0.3">
      <c r="B321" s="33">
        <v>317</v>
      </c>
      <c r="C321" s="34" t="s">
        <v>694</v>
      </c>
      <c r="D321" s="35" t="s">
        <v>711</v>
      </c>
      <c r="E321" s="34" t="s">
        <v>696</v>
      </c>
      <c r="F321" s="36" t="s">
        <v>1028</v>
      </c>
      <c r="G321" s="36" t="s">
        <v>1425</v>
      </c>
      <c r="H321" s="37">
        <v>2112</v>
      </c>
      <c r="I321" s="36" t="s">
        <v>697</v>
      </c>
      <c r="J321" s="34" t="s">
        <v>698</v>
      </c>
      <c r="K321" s="38"/>
      <c r="L321" s="36" t="s">
        <v>695</v>
      </c>
      <c r="M321" s="36" t="s">
        <v>695</v>
      </c>
      <c r="N321" s="38"/>
      <c r="O321" s="38"/>
      <c r="P321" s="1"/>
      <c r="Q321" s="40"/>
    </row>
    <row r="322" spans="2:17" ht="16.5" x14ac:dyDescent="0.3">
      <c r="B322" s="33">
        <v>318</v>
      </c>
      <c r="C322" s="34" t="s">
        <v>694</v>
      </c>
      <c r="D322" s="35" t="s">
        <v>711</v>
      </c>
      <c r="E322" s="34" t="s">
        <v>696</v>
      </c>
      <c r="F322" s="36" t="s">
        <v>1029</v>
      </c>
      <c r="G322" s="36" t="s">
        <v>1426</v>
      </c>
      <c r="H322" s="37">
        <v>3835</v>
      </c>
      <c r="I322" s="36" t="s">
        <v>697</v>
      </c>
      <c r="J322" s="34" t="s">
        <v>698</v>
      </c>
      <c r="K322" s="38"/>
      <c r="L322" s="36" t="s">
        <v>695</v>
      </c>
      <c r="M322" s="36" t="s">
        <v>695</v>
      </c>
      <c r="N322" s="38"/>
      <c r="O322" s="38"/>
      <c r="P322" s="1"/>
      <c r="Q322" s="40"/>
    </row>
    <row r="323" spans="2:17" ht="16.5" x14ac:dyDescent="0.3">
      <c r="B323" s="33">
        <v>319</v>
      </c>
      <c r="C323" s="34" t="s">
        <v>694</v>
      </c>
      <c r="D323" s="35" t="s">
        <v>711</v>
      </c>
      <c r="E323" s="34" t="s">
        <v>696</v>
      </c>
      <c r="F323" s="36" t="s">
        <v>1030</v>
      </c>
      <c r="G323" s="36" t="s">
        <v>1427</v>
      </c>
      <c r="H323" s="37">
        <v>1006</v>
      </c>
      <c r="I323" s="36" t="s">
        <v>697</v>
      </c>
      <c r="J323" s="34" t="s">
        <v>698</v>
      </c>
      <c r="K323" s="38"/>
      <c r="L323" s="36" t="s">
        <v>695</v>
      </c>
      <c r="M323" s="36" t="s">
        <v>695</v>
      </c>
      <c r="N323" s="38"/>
      <c r="O323" s="38"/>
      <c r="P323" s="1"/>
      <c r="Q323" s="40"/>
    </row>
    <row r="324" spans="2:17" ht="16.5" x14ac:dyDescent="0.3">
      <c r="B324" s="33">
        <v>320</v>
      </c>
      <c r="C324" s="34" t="s">
        <v>694</v>
      </c>
      <c r="D324" s="35" t="s">
        <v>711</v>
      </c>
      <c r="E324" s="34" t="s">
        <v>696</v>
      </c>
      <c r="F324" s="36" t="s">
        <v>1031</v>
      </c>
      <c r="G324" s="36" t="s">
        <v>1428</v>
      </c>
      <c r="H324" s="37">
        <v>3003</v>
      </c>
      <c r="I324" s="36" t="s">
        <v>697</v>
      </c>
      <c r="J324" s="34" t="s">
        <v>698</v>
      </c>
      <c r="K324" s="38"/>
      <c r="L324" s="36" t="s">
        <v>695</v>
      </c>
      <c r="M324" s="36" t="s">
        <v>695</v>
      </c>
      <c r="N324" s="38"/>
      <c r="O324" s="38"/>
      <c r="P324" s="1"/>
      <c r="Q324" s="40"/>
    </row>
    <row r="325" spans="2:17" ht="16.5" x14ac:dyDescent="0.3">
      <c r="B325" s="33">
        <v>321</v>
      </c>
      <c r="C325" s="34" t="s">
        <v>694</v>
      </c>
      <c r="D325" s="35" t="s">
        <v>711</v>
      </c>
      <c r="E325" s="34" t="s">
        <v>696</v>
      </c>
      <c r="F325" s="36" t="s">
        <v>1032</v>
      </c>
      <c r="G325" s="36" t="s">
        <v>1429</v>
      </c>
      <c r="H325" s="37">
        <v>1282</v>
      </c>
      <c r="I325" s="36" t="s">
        <v>697</v>
      </c>
      <c r="J325" s="34" t="s">
        <v>698</v>
      </c>
      <c r="K325" s="38"/>
      <c r="L325" s="36" t="s">
        <v>695</v>
      </c>
      <c r="M325" s="36" t="s">
        <v>695</v>
      </c>
      <c r="N325" s="38"/>
      <c r="O325" s="38"/>
      <c r="P325" s="1"/>
      <c r="Q325" s="40"/>
    </row>
    <row r="326" spans="2:17" ht="16.5" x14ac:dyDescent="0.3">
      <c r="B326" s="33">
        <v>322</v>
      </c>
      <c r="C326" s="34" t="s">
        <v>694</v>
      </c>
      <c r="D326" s="35" t="s">
        <v>711</v>
      </c>
      <c r="E326" s="34" t="s">
        <v>696</v>
      </c>
      <c r="F326" s="36" t="s">
        <v>1033</v>
      </c>
      <c r="G326" s="36" t="s">
        <v>1430</v>
      </c>
      <c r="H326" s="37">
        <v>1578</v>
      </c>
      <c r="I326" s="36" t="s">
        <v>697</v>
      </c>
      <c r="J326" s="34" t="s">
        <v>698</v>
      </c>
      <c r="K326" s="38"/>
      <c r="L326" s="36" t="s">
        <v>695</v>
      </c>
      <c r="M326" s="36" t="s">
        <v>695</v>
      </c>
      <c r="N326" s="38"/>
      <c r="O326" s="38"/>
      <c r="P326" s="1"/>
      <c r="Q326" s="40"/>
    </row>
    <row r="327" spans="2:17" ht="16.5" x14ac:dyDescent="0.3">
      <c r="B327" s="33">
        <v>323</v>
      </c>
      <c r="C327" s="34" t="s">
        <v>694</v>
      </c>
      <c r="D327" s="35" t="s">
        <v>711</v>
      </c>
      <c r="E327" s="34" t="s">
        <v>696</v>
      </c>
      <c r="F327" s="36" t="s">
        <v>1034</v>
      </c>
      <c r="G327" s="36" t="s">
        <v>1431</v>
      </c>
      <c r="H327" s="37">
        <v>1001</v>
      </c>
      <c r="I327" s="36" t="s">
        <v>700</v>
      </c>
      <c r="J327" s="34" t="s">
        <v>698</v>
      </c>
      <c r="K327" s="38"/>
      <c r="L327" s="36" t="s">
        <v>695</v>
      </c>
      <c r="M327" s="36" t="s">
        <v>695</v>
      </c>
      <c r="N327" s="38"/>
      <c r="O327" s="38"/>
      <c r="P327" s="1"/>
      <c r="Q327" s="40"/>
    </row>
    <row r="328" spans="2:17" ht="16.5" x14ac:dyDescent="0.3">
      <c r="B328" s="33">
        <v>324</v>
      </c>
      <c r="C328" s="34" t="s">
        <v>694</v>
      </c>
      <c r="D328" s="35" t="s">
        <v>711</v>
      </c>
      <c r="E328" s="34" t="s">
        <v>696</v>
      </c>
      <c r="F328" s="36" t="s">
        <v>1035</v>
      </c>
      <c r="G328" s="36" t="s">
        <v>1432</v>
      </c>
      <c r="H328" s="37">
        <v>8529</v>
      </c>
      <c r="I328" s="36" t="s">
        <v>697</v>
      </c>
      <c r="J328" s="34" t="s">
        <v>698</v>
      </c>
      <c r="K328" s="38"/>
      <c r="L328" s="36" t="s">
        <v>695</v>
      </c>
      <c r="M328" s="36" t="s">
        <v>695</v>
      </c>
      <c r="N328" s="38"/>
      <c r="O328" s="38"/>
      <c r="P328" s="1"/>
      <c r="Q328" s="40"/>
    </row>
    <row r="329" spans="2:17" ht="16.5" x14ac:dyDescent="0.3">
      <c r="B329" s="33">
        <v>325</v>
      </c>
      <c r="C329" s="34" t="s">
        <v>694</v>
      </c>
      <c r="D329" s="35" t="s">
        <v>711</v>
      </c>
      <c r="E329" s="34" t="s">
        <v>696</v>
      </c>
      <c r="F329" s="36" t="s">
        <v>1036</v>
      </c>
      <c r="G329" s="36" t="s">
        <v>1433</v>
      </c>
      <c r="H329" s="37">
        <v>5176</v>
      </c>
      <c r="I329" s="36" t="s">
        <v>697</v>
      </c>
      <c r="J329" s="34" t="s">
        <v>698</v>
      </c>
      <c r="K329" s="38"/>
      <c r="L329" s="36" t="s">
        <v>695</v>
      </c>
      <c r="M329" s="36" t="s">
        <v>695</v>
      </c>
      <c r="N329" s="38"/>
      <c r="O329" s="38"/>
      <c r="P329" s="1"/>
      <c r="Q329" s="40"/>
    </row>
    <row r="330" spans="2:17" ht="16.5" x14ac:dyDescent="0.3">
      <c r="B330" s="33">
        <v>326</v>
      </c>
      <c r="C330" s="34" t="s">
        <v>694</v>
      </c>
      <c r="D330" s="35" t="s">
        <v>711</v>
      </c>
      <c r="E330" s="34" t="s">
        <v>696</v>
      </c>
      <c r="F330" s="36" t="s">
        <v>1037</v>
      </c>
      <c r="G330" s="36" t="s">
        <v>1434</v>
      </c>
      <c r="H330" s="37">
        <v>8646</v>
      </c>
      <c r="I330" s="36" t="s">
        <v>697</v>
      </c>
      <c r="J330" s="34" t="s">
        <v>698</v>
      </c>
      <c r="K330" s="38"/>
      <c r="L330" s="36" t="s">
        <v>695</v>
      </c>
      <c r="M330" s="36" t="s">
        <v>695</v>
      </c>
      <c r="N330" s="38"/>
      <c r="O330" s="38"/>
      <c r="P330" s="1"/>
      <c r="Q330" s="40"/>
    </row>
    <row r="331" spans="2:17" ht="16.5" x14ac:dyDescent="0.3">
      <c r="B331" s="33">
        <v>327</v>
      </c>
      <c r="C331" s="34" t="s">
        <v>694</v>
      </c>
      <c r="D331" s="35" t="s">
        <v>711</v>
      </c>
      <c r="E331" s="34" t="s">
        <v>696</v>
      </c>
      <c r="F331" s="36" t="s">
        <v>1038</v>
      </c>
      <c r="G331" s="36" t="s">
        <v>1435</v>
      </c>
      <c r="H331" s="37">
        <v>1623</v>
      </c>
      <c r="I331" s="36" t="s">
        <v>697</v>
      </c>
      <c r="J331" s="34" t="s">
        <v>698</v>
      </c>
      <c r="K331" s="38"/>
      <c r="L331" s="36" t="s">
        <v>695</v>
      </c>
      <c r="M331" s="36" t="s">
        <v>695</v>
      </c>
      <c r="N331" s="38"/>
      <c r="O331" s="38"/>
      <c r="P331" s="1"/>
      <c r="Q331" s="40"/>
    </row>
    <row r="332" spans="2:17" ht="16.5" x14ac:dyDescent="0.3">
      <c r="B332" s="33">
        <v>328</v>
      </c>
      <c r="C332" s="34" t="s">
        <v>694</v>
      </c>
      <c r="D332" s="35" t="s">
        <v>711</v>
      </c>
      <c r="E332" s="34" t="s">
        <v>696</v>
      </c>
      <c r="F332" s="36" t="s">
        <v>1039</v>
      </c>
      <c r="G332" s="36" t="s">
        <v>1436</v>
      </c>
      <c r="H332" s="37">
        <v>13525</v>
      </c>
      <c r="I332" s="36" t="s">
        <v>697</v>
      </c>
      <c r="J332" s="34" t="s">
        <v>698</v>
      </c>
      <c r="K332" s="38"/>
      <c r="L332" s="36" t="s">
        <v>695</v>
      </c>
      <c r="M332" s="36" t="s">
        <v>695</v>
      </c>
      <c r="N332" s="38"/>
      <c r="O332" s="38"/>
      <c r="P332" s="1"/>
      <c r="Q332" s="40"/>
    </row>
    <row r="333" spans="2:17" ht="16.5" x14ac:dyDescent="0.3">
      <c r="B333" s="33">
        <v>329</v>
      </c>
      <c r="C333" s="34" t="s">
        <v>694</v>
      </c>
      <c r="D333" s="35" t="s">
        <v>711</v>
      </c>
      <c r="E333" s="34" t="s">
        <v>696</v>
      </c>
      <c r="F333" s="36" t="s">
        <v>1040</v>
      </c>
      <c r="G333" s="36" t="s">
        <v>1437</v>
      </c>
      <c r="H333" s="37">
        <v>5865</v>
      </c>
      <c r="I333" s="36" t="s">
        <v>697</v>
      </c>
      <c r="J333" s="34" t="s">
        <v>698</v>
      </c>
      <c r="K333" s="38"/>
      <c r="L333" s="36" t="s">
        <v>695</v>
      </c>
      <c r="M333" s="36" t="s">
        <v>695</v>
      </c>
      <c r="N333" s="38"/>
      <c r="O333" s="38"/>
      <c r="P333" s="1"/>
      <c r="Q333" s="40"/>
    </row>
    <row r="334" spans="2:17" ht="16.5" x14ac:dyDescent="0.3">
      <c r="B334" s="33">
        <v>330</v>
      </c>
      <c r="C334" s="34" t="s">
        <v>694</v>
      </c>
      <c r="D334" s="35" t="s">
        <v>711</v>
      </c>
      <c r="E334" s="34" t="s">
        <v>696</v>
      </c>
      <c r="F334" s="36" t="s">
        <v>1041</v>
      </c>
      <c r="G334" s="36" t="s">
        <v>1438</v>
      </c>
      <c r="H334" s="37">
        <v>1147</v>
      </c>
      <c r="I334" s="36" t="s">
        <v>697</v>
      </c>
      <c r="J334" s="34" t="s">
        <v>698</v>
      </c>
      <c r="K334" s="38"/>
      <c r="L334" s="36" t="s">
        <v>695</v>
      </c>
      <c r="M334" s="36" t="s">
        <v>695</v>
      </c>
      <c r="N334" s="38"/>
      <c r="O334" s="38"/>
      <c r="P334" s="1"/>
      <c r="Q334" s="40"/>
    </row>
    <row r="335" spans="2:17" ht="16.5" x14ac:dyDescent="0.3">
      <c r="B335" s="33">
        <v>331</v>
      </c>
      <c r="C335" s="34" t="s">
        <v>694</v>
      </c>
      <c r="D335" s="35" t="s">
        <v>711</v>
      </c>
      <c r="E335" s="34" t="s">
        <v>696</v>
      </c>
      <c r="F335" s="36" t="s">
        <v>1042</v>
      </c>
      <c r="G335" s="36" t="s">
        <v>1439</v>
      </c>
      <c r="H335" s="37">
        <v>13746</v>
      </c>
      <c r="I335" s="36" t="s">
        <v>697</v>
      </c>
      <c r="J335" s="34" t="s">
        <v>698</v>
      </c>
      <c r="K335" s="38"/>
      <c r="L335" s="36" t="s">
        <v>695</v>
      </c>
      <c r="M335" s="36" t="s">
        <v>695</v>
      </c>
      <c r="N335" s="38"/>
      <c r="O335" s="38"/>
      <c r="P335" s="1"/>
      <c r="Q335" s="40"/>
    </row>
    <row r="336" spans="2:17" ht="16.5" x14ac:dyDescent="0.3">
      <c r="B336" s="33">
        <v>332</v>
      </c>
      <c r="C336" s="34" t="s">
        <v>694</v>
      </c>
      <c r="D336" s="35" t="s">
        <v>711</v>
      </c>
      <c r="E336" s="34" t="s">
        <v>696</v>
      </c>
      <c r="F336" s="36" t="s">
        <v>1043</v>
      </c>
      <c r="G336" s="36" t="s">
        <v>1440</v>
      </c>
      <c r="H336" s="37">
        <v>3000</v>
      </c>
      <c r="I336" s="36" t="s">
        <v>697</v>
      </c>
      <c r="J336" s="34" t="s">
        <v>698</v>
      </c>
      <c r="K336" s="38"/>
      <c r="L336" s="36" t="s">
        <v>695</v>
      </c>
      <c r="M336" s="36" t="s">
        <v>695</v>
      </c>
      <c r="N336" s="38"/>
      <c r="O336" s="38"/>
      <c r="P336" s="1"/>
      <c r="Q336" s="40"/>
    </row>
    <row r="337" spans="2:17" ht="16.5" x14ac:dyDescent="0.3">
      <c r="B337" s="33">
        <v>333</v>
      </c>
      <c r="C337" s="34" t="s">
        <v>694</v>
      </c>
      <c r="D337" s="35" t="s">
        <v>711</v>
      </c>
      <c r="E337" s="34" t="s">
        <v>696</v>
      </c>
      <c r="F337" s="36" t="s">
        <v>1044</v>
      </c>
      <c r="G337" s="36" t="s">
        <v>1441</v>
      </c>
      <c r="H337" s="37">
        <v>4000</v>
      </c>
      <c r="I337" s="36" t="s">
        <v>697</v>
      </c>
      <c r="J337" s="34" t="s">
        <v>698</v>
      </c>
      <c r="K337" s="38"/>
      <c r="L337" s="36" t="s">
        <v>695</v>
      </c>
      <c r="M337" s="36" t="s">
        <v>695</v>
      </c>
      <c r="N337" s="38"/>
      <c r="O337" s="38"/>
      <c r="P337" s="1"/>
      <c r="Q337" s="40"/>
    </row>
    <row r="338" spans="2:17" ht="16.5" x14ac:dyDescent="0.3">
      <c r="B338" s="33">
        <v>334</v>
      </c>
      <c r="C338" s="34" t="s">
        <v>694</v>
      </c>
      <c r="D338" s="35" t="s">
        <v>711</v>
      </c>
      <c r="E338" s="34" t="s">
        <v>696</v>
      </c>
      <c r="F338" s="36" t="s">
        <v>1045</v>
      </c>
      <c r="G338" s="36" t="s">
        <v>1442</v>
      </c>
      <c r="H338" s="37">
        <v>2010</v>
      </c>
      <c r="I338" s="36" t="s">
        <v>697</v>
      </c>
      <c r="J338" s="34" t="s">
        <v>698</v>
      </c>
      <c r="K338" s="38"/>
      <c r="L338" s="36" t="s">
        <v>695</v>
      </c>
      <c r="M338" s="36" t="s">
        <v>695</v>
      </c>
      <c r="N338" s="38"/>
      <c r="O338" s="38"/>
      <c r="P338" s="1"/>
      <c r="Q338" s="40"/>
    </row>
    <row r="339" spans="2:17" ht="16.5" x14ac:dyDescent="0.3">
      <c r="B339" s="33">
        <v>335</v>
      </c>
      <c r="C339" s="34" t="s">
        <v>694</v>
      </c>
      <c r="D339" s="35" t="s">
        <v>711</v>
      </c>
      <c r="E339" s="34" t="s">
        <v>696</v>
      </c>
      <c r="F339" s="36" t="s">
        <v>1046</v>
      </c>
      <c r="G339" s="36" t="s">
        <v>1443</v>
      </c>
      <c r="H339" s="37">
        <v>2000</v>
      </c>
      <c r="I339" s="36" t="s">
        <v>697</v>
      </c>
      <c r="J339" s="34" t="s">
        <v>698</v>
      </c>
      <c r="K339" s="38"/>
      <c r="L339" s="36" t="s">
        <v>695</v>
      </c>
      <c r="M339" s="36" t="s">
        <v>695</v>
      </c>
      <c r="N339" s="38"/>
      <c r="O339" s="38"/>
      <c r="P339" s="1"/>
      <c r="Q339" s="40"/>
    </row>
    <row r="340" spans="2:17" ht="16.5" x14ac:dyDescent="0.3">
      <c r="B340" s="33">
        <v>336</v>
      </c>
      <c r="C340" s="34" t="s">
        <v>694</v>
      </c>
      <c r="D340" s="35" t="s">
        <v>711</v>
      </c>
      <c r="E340" s="34" t="s">
        <v>696</v>
      </c>
      <c r="F340" s="36" t="s">
        <v>1047</v>
      </c>
      <c r="G340" s="36" t="s">
        <v>1444</v>
      </c>
      <c r="H340" s="37">
        <v>796</v>
      </c>
      <c r="I340" s="36" t="s">
        <v>697</v>
      </c>
      <c r="J340" s="34" t="s">
        <v>698</v>
      </c>
      <c r="K340" s="38"/>
      <c r="L340" s="36" t="s">
        <v>695</v>
      </c>
      <c r="M340" s="36" t="s">
        <v>695</v>
      </c>
      <c r="N340" s="38"/>
      <c r="O340" s="38"/>
      <c r="P340" s="1"/>
      <c r="Q340" s="40"/>
    </row>
    <row r="341" spans="2:17" ht="16.5" x14ac:dyDescent="0.3">
      <c r="B341" s="33">
        <v>337</v>
      </c>
      <c r="C341" s="34" t="s">
        <v>694</v>
      </c>
      <c r="D341" s="35" t="s">
        <v>711</v>
      </c>
      <c r="E341" s="34" t="s">
        <v>696</v>
      </c>
      <c r="F341" s="36" t="s">
        <v>1048</v>
      </c>
      <c r="G341" s="36" t="s">
        <v>1445</v>
      </c>
      <c r="H341" s="37">
        <v>5806</v>
      </c>
      <c r="I341" s="36" t="s">
        <v>697</v>
      </c>
      <c r="J341" s="34" t="s">
        <v>698</v>
      </c>
      <c r="K341" s="38"/>
      <c r="L341" s="36" t="s">
        <v>695</v>
      </c>
      <c r="M341" s="36" t="s">
        <v>695</v>
      </c>
      <c r="N341" s="38"/>
      <c r="O341" s="38"/>
      <c r="P341" s="1"/>
      <c r="Q341" s="40"/>
    </row>
    <row r="342" spans="2:17" ht="16.5" x14ac:dyDescent="0.3">
      <c r="B342" s="33">
        <v>338</v>
      </c>
      <c r="C342" s="34" t="s">
        <v>694</v>
      </c>
      <c r="D342" s="35" t="s">
        <v>711</v>
      </c>
      <c r="E342" s="34" t="s">
        <v>696</v>
      </c>
      <c r="F342" s="36" t="s">
        <v>1049</v>
      </c>
      <c r="G342" s="36" t="s">
        <v>1446</v>
      </c>
      <c r="H342" s="37">
        <v>5806</v>
      </c>
      <c r="I342" s="36" t="s">
        <v>697</v>
      </c>
      <c r="J342" s="34" t="s">
        <v>698</v>
      </c>
      <c r="K342" s="38"/>
      <c r="L342" s="36" t="s">
        <v>695</v>
      </c>
      <c r="M342" s="36" t="s">
        <v>695</v>
      </c>
      <c r="N342" s="38"/>
      <c r="O342" s="38"/>
      <c r="P342" s="1"/>
      <c r="Q342" s="40"/>
    </row>
    <row r="343" spans="2:17" ht="16.5" x14ac:dyDescent="0.3">
      <c r="B343" s="33">
        <v>339</v>
      </c>
      <c r="C343" s="34" t="s">
        <v>694</v>
      </c>
      <c r="D343" s="35" t="s">
        <v>711</v>
      </c>
      <c r="E343" s="34" t="s">
        <v>696</v>
      </c>
      <c r="F343" s="36" t="s">
        <v>1050</v>
      </c>
      <c r="G343" s="36" t="s">
        <v>1447</v>
      </c>
      <c r="H343" s="37">
        <v>2000</v>
      </c>
      <c r="I343" s="36" t="s">
        <v>697</v>
      </c>
      <c r="J343" s="34" t="s">
        <v>698</v>
      </c>
      <c r="K343" s="38"/>
      <c r="L343" s="36" t="s">
        <v>695</v>
      </c>
      <c r="M343" s="36" t="s">
        <v>695</v>
      </c>
      <c r="N343" s="38"/>
      <c r="O343" s="38"/>
      <c r="P343" s="1"/>
      <c r="Q343" s="40"/>
    </row>
    <row r="344" spans="2:17" ht="16.5" x14ac:dyDescent="0.3">
      <c r="B344" s="33">
        <v>340</v>
      </c>
      <c r="C344" s="34" t="s">
        <v>694</v>
      </c>
      <c r="D344" s="35" t="s">
        <v>711</v>
      </c>
      <c r="E344" s="34" t="s">
        <v>696</v>
      </c>
      <c r="F344" s="36" t="s">
        <v>1051</v>
      </c>
      <c r="G344" s="36" t="s">
        <v>1448</v>
      </c>
      <c r="H344" s="37">
        <v>11160</v>
      </c>
      <c r="I344" s="36" t="s">
        <v>697</v>
      </c>
      <c r="J344" s="34" t="s">
        <v>698</v>
      </c>
      <c r="K344" s="38"/>
      <c r="L344" s="36" t="s">
        <v>695</v>
      </c>
      <c r="M344" s="36" t="s">
        <v>695</v>
      </c>
      <c r="N344" s="38"/>
      <c r="O344" s="38"/>
      <c r="P344" s="1"/>
      <c r="Q344" s="40"/>
    </row>
    <row r="345" spans="2:17" ht="16.5" x14ac:dyDescent="0.3">
      <c r="B345" s="33">
        <v>341</v>
      </c>
      <c r="C345" s="34" t="s">
        <v>694</v>
      </c>
      <c r="D345" s="35" t="s">
        <v>711</v>
      </c>
      <c r="E345" s="34" t="s">
        <v>696</v>
      </c>
      <c r="F345" s="36" t="s">
        <v>1052</v>
      </c>
      <c r="G345" s="36" t="s">
        <v>1449</v>
      </c>
      <c r="H345" s="37">
        <v>361</v>
      </c>
      <c r="I345" s="36" t="s">
        <v>701</v>
      </c>
      <c r="J345" s="34" t="s">
        <v>698</v>
      </c>
      <c r="K345" s="38"/>
      <c r="L345" s="36" t="s">
        <v>695</v>
      </c>
      <c r="M345" s="36" t="s">
        <v>695</v>
      </c>
      <c r="N345" s="38"/>
      <c r="O345" s="38"/>
      <c r="P345" s="1"/>
      <c r="Q345" s="40"/>
    </row>
    <row r="346" spans="2:17" ht="16.5" x14ac:dyDescent="0.3">
      <c r="B346" s="33">
        <v>342</v>
      </c>
      <c r="C346" s="34" t="s">
        <v>694</v>
      </c>
      <c r="D346" s="35" t="s">
        <v>711</v>
      </c>
      <c r="E346" s="34" t="s">
        <v>696</v>
      </c>
      <c r="F346" s="36" t="s">
        <v>1053</v>
      </c>
      <c r="G346" s="36" t="s">
        <v>1450</v>
      </c>
      <c r="H346" s="37">
        <v>1284</v>
      </c>
      <c r="I346" s="36" t="s">
        <v>697</v>
      </c>
      <c r="J346" s="34" t="s">
        <v>698</v>
      </c>
      <c r="K346" s="38"/>
      <c r="L346" s="36" t="s">
        <v>695</v>
      </c>
      <c r="M346" s="36" t="s">
        <v>695</v>
      </c>
      <c r="N346" s="38"/>
      <c r="O346" s="38"/>
      <c r="P346" s="1"/>
      <c r="Q346" s="40"/>
    </row>
    <row r="347" spans="2:17" ht="16.5" x14ac:dyDescent="0.3">
      <c r="B347" s="33">
        <v>343</v>
      </c>
      <c r="C347" s="34" t="s">
        <v>694</v>
      </c>
      <c r="D347" s="35" t="s">
        <v>711</v>
      </c>
      <c r="E347" s="34" t="s">
        <v>696</v>
      </c>
      <c r="F347" s="36" t="s">
        <v>1054</v>
      </c>
      <c r="G347" s="36" t="s">
        <v>1451</v>
      </c>
      <c r="H347" s="37">
        <v>2581</v>
      </c>
      <c r="I347" s="36" t="s">
        <v>697</v>
      </c>
      <c r="J347" s="34" t="s">
        <v>698</v>
      </c>
      <c r="K347" s="38"/>
      <c r="L347" s="36" t="s">
        <v>695</v>
      </c>
      <c r="M347" s="36" t="s">
        <v>695</v>
      </c>
      <c r="N347" s="38"/>
      <c r="O347" s="38"/>
      <c r="P347" s="1"/>
      <c r="Q347" s="40"/>
    </row>
    <row r="348" spans="2:17" ht="16.5" x14ac:dyDescent="0.3">
      <c r="B348" s="33">
        <v>344</v>
      </c>
      <c r="C348" s="34" t="s">
        <v>694</v>
      </c>
      <c r="D348" s="35" t="s">
        <v>711</v>
      </c>
      <c r="E348" s="34" t="s">
        <v>696</v>
      </c>
      <c r="F348" s="36" t="s">
        <v>1055</v>
      </c>
      <c r="G348" s="36" t="s">
        <v>1452</v>
      </c>
      <c r="H348" s="37">
        <v>1125</v>
      </c>
      <c r="I348" s="36" t="s">
        <v>697</v>
      </c>
      <c r="J348" s="34" t="s">
        <v>698</v>
      </c>
      <c r="K348" s="38"/>
      <c r="L348" s="36" t="s">
        <v>695</v>
      </c>
      <c r="M348" s="36" t="s">
        <v>695</v>
      </c>
      <c r="N348" s="38"/>
      <c r="O348" s="38"/>
      <c r="P348" s="1"/>
      <c r="Q348" s="40"/>
    </row>
    <row r="349" spans="2:17" ht="16.5" x14ac:dyDescent="0.3">
      <c r="B349" s="33">
        <v>345</v>
      </c>
      <c r="C349" s="34" t="s">
        <v>694</v>
      </c>
      <c r="D349" s="35" t="s">
        <v>711</v>
      </c>
      <c r="E349" s="34" t="s">
        <v>696</v>
      </c>
      <c r="F349" s="36" t="s">
        <v>1056</v>
      </c>
      <c r="G349" s="36" t="s">
        <v>1453</v>
      </c>
      <c r="H349" s="37">
        <v>2114</v>
      </c>
      <c r="I349" s="36" t="s">
        <v>697</v>
      </c>
      <c r="J349" s="34" t="s">
        <v>698</v>
      </c>
      <c r="K349" s="38"/>
      <c r="L349" s="36" t="s">
        <v>695</v>
      </c>
      <c r="M349" s="36" t="s">
        <v>695</v>
      </c>
      <c r="N349" s="38"/>
      <c r="O349" s="38"/>
      <c r="P349" s="1"/>
      <c r="Q349" s="40"/>
    </row>
    <row r="350" spans="2:17" ht="16.5" x14ac:dyDescent="0.3">
      <c r="B350" s="33">
        <v>346</v>
      </c>
      <c r="C350" s="34" t="s">
        <v>694</v>
      </c>
      <c r="D350" s="35" t="s">
        <v>711</v>
      </c>
      <c r="E350" s="34" t="s">
        <v>696</v>
      </c>
      <c r="F350" s="36" t="s">
        <v>1057</v>
      </c>
      <c r="G350" s="36" t="s">
        <v>1454</v>
      </c>
      <c r="H350" s="37">
        <v>10072</v>
      </c>
      <c r="I350" s="36" t="s">
        <v>697</v>
      </c>
      <c r="J350" s="34" t="s">
        <v>698</v>
      </c>
      <c r="K350" s="38"/>
      <c r="L350" s="36" t="s">
        <v>695</v>
      </c>
      <c r="M350" s="36" t="s">
        <v>695</v>
      </c>
      <c r="N350" s="38"/>
      <c r="O350" s="38"/>
      <c r="P350" s="1"/>
      <c r="Q350" s="40"/>
    </row>
    <row r="351" spans="2:17" ht="16.5" x14ac:dyDescent="0.3">
      <c r="B351" s="33">
        <v>347</v>
      </c>
      <c r="C351" s="34" t="s">
        <v>694</v>
      </c>
      <c r="D351" s="35" t="s">
        <v>711</v>
      </c>
      <c r="E351" s="34" t="s">
        <v>696</v>
      </c>
      <c r="F351" s="36" t="s">
        <v>1058</v>
      </c>
      <c r="G351" s="36" t="s">
        <v>1455</v>
      </c>
      <c r="H351" s="37">
        <v>2000</v>
      </c>
      <c r="I351" s="36" t="s">
        <v>697</v>
      </c>
      <c r="J351" s="34" t="s">
        <v>698</v>
      </c>
      <c r="K351" s="38"/>
      <c r="L351" s="36" t="s">
        <v>695</v>
      </c>
      <c r="M351" s="36" t="s">
        <v>695</v>
      </c>
      <c r="N351" s="38"/>
      <c r="O351" s="38"/>
      <c r="P351" s="1"/>
      <c r="Q351" s="40"/>
    </row>
    <row r="352" spans="2:17" ht="16.5" x14ac:dyDescent="0.3">
      <c r="B352" s="33">
        <v>348</v>
      </c>
      <c r="C352" s="34" t="s">
        <v>694</v>
      </c>
      <c r="D352" s="35" t="s">
        <v>711</v>
      </c>
      <c r="E352" s="34" t="s">
        <v>696</v>
      </c>
      <c r="F352" s="36" t="s">
        <v>1059</v>
      </c>
      <c r="G352" s="36" t="s">
        <v>1456</v>
      </c>
      <c r="H352" s="37">
        <v>2181</v>
      </c>
      <c r="I352" s="36" t="s">
        <v>697</v>
      </c>
      <c r="J352" s="34" t="s">
        <v>698</v>
      </c>
      <c r="K352" s="38"/>
      <c r="L352" s="36" t="s">
        <v>695</v>
      </c>
      <c r="M352" s="36" t="s">
        <v>695</v>
      </c>
      <c r="N352" s="38"/>
      <c r="O352" s="38"/>
      <c r="P352" s="1"/>
      <c r="Q352" s="40"/>
    </row>
    <row r="353" spans="2:17" ht="16.5" x14ac:dyDescent="0.3">
      <c r="B353" s="33">
        <v>349</v>
      </c>
      <c r="C353" s="34" t="s">
        <v>694</v>
      </c>
      <c r="D353" s="35" t="s">
        <v>711</v>
      </c>
      <c r="E353" s="34" t="s">
        <v>696</v>
      </c>
      <c r="F353" s="36" t="s">
        <v>1060</v>
      </c>
      <c r="G353" s="36" t="s">
        <v>1457</v>
      </c>
      <c r="H353" s="37">
        <v>2424</v>
      </c>
      <c r="I353" s="36" t="s">
        <v>697</v>
      </c>
      <c r="J353" s="34" t="s">
        <v>698</v>
      </c>
      <c r="K353" s="38"/>
      <c r="L353" s="36" t="s">
        <v>695</v>
      </c>
      <c r="M353" s="36" t="s">
        <v>695</v>
      </c>
      <c r="N353" s="38"/>
      <c r="O353" s="38"/>
      <c r="P353" s="1"/>
      <c r="Q353" s="40"/>
    </row>
    <row r="354" spans="2:17" ht="16.5" x14ac:dyDescent="0.3">
      <c r="B354" s="33">
        <v>350</v>
      </c>
      <c r="C354" s="34" t="s">
        <v>694</v>
      </c>
      <c r="D354" s="35" t="s">
        <v>711</v>
      </c>
      <c r="E354" s="34" t="s">
        <v>696</v>
      </c>
      <c r="F354" s="36" t="s">
        <v>1061</v>
      </c>
      <c r="G354" s="36" t="s">
        <v>1458</v>
      </c>
      <c r="H354" s="37">
        <v>4400</v>
      </c>
      <c r="I354" s="36" t="s">
        <v>697</v>
      </c>
      <c r="J354" s="34" t="s">
        <v>698</v>
      </c>
      <c r="K354" s="38"/>
      <c r="L354" s="36" t="s">
        <v>695</v>
      </c>
      <c r="M354" s="36" t="s">
        <v>695</v>
      </c>
      <c r="N354" s="38"/>
      <c r="O354" s="38"/>
      <c r="P354" s="1"/>
      <c r="Q354" s="40"/>
    </row>
    <row r="355" spans="2:17" ht="16.5" x14ac:dyDescent="0.3">
      <c r="B355" s="33">
        <v>351</v>
      </c>
      <c r="C355" s="34" t="s">
        <v>694</v>
      </c>
      <c r="D355" s="35" t="s">
        <v>711</v>
      </c>
      <c r="E355" s="34" t="s">
        <v>696</v>
      </c>
      <c r="F355" s="36" t="s">
        <v>1062</v>
      </c>
      <c r="G355" s="36" t="s">
        <v>1459</v>
      </c>
      <c r="H355" s="37">
        <v>1072</v>
      </c>
      <c r="I355" s="36" t="s">
        <v>697</v>
      </c>
      <c r="J355" s="34" t="s">
        <v>698</v>
      </c>
      <c r="K355" s="38"/>
      <c r="L355" s="36" t="s">
        <v>695</v>
      </c>
      <c r="M355" s="36" t="s">
        <v>695</v>
      </c>
      <c r="N355" s="38"/>
      <c r="O355" s="38"/>
      <c r="P355" s="1"/>
      <c r="Q355" s="40"/>
    </row>
    <row r="356" spans="2:17" ht="16.5" x14ac:dyDescent="0.3">
      <c r="B356" s="33">
        <v>352</v>
      </c>
      <c r="C356" s="34" t="s">
        <v>694</v>
      </c>
      <c r="D356" s="35" t="s">
        <v>711</v>
      </c>
      <c r="E356" s="34" t="s">
        <v>696</v>
      </c>
      <c r="F356" s="36" t="s">
        <v>1063</v>
      </c>
      <c r="G356" s="36" t="s">
        <v>1460</v>
      </c>
      <c r="H356" s="37">
        <v>2220</v>
      </c>
      <c r="I356" s="36" t="s">
        <v>700</v>
      </c>
      <c r="J356" s="34" t="s">
        <v>698</v>
      </c>
      <c r="K356" s="38"/>
      <c r="L356" s="36" t="s">
        <v>695</v>
      </c>
      <c r="M356" s="36" t="s">
        <v>695</v>
      </c>
      <c r="N356" s="38"/>
      <c r="O356" s="38"/>
      <c r="P356" s="1"/>
      <c r="Q356" s="40"/>
    </row>
    <row r="357" spans="2:17" ht="16.5" x14ac:dyDescent="0.3">
      <c r="B357" s="33">
        <v>353</v>
      </c>
      <c r="C357" s="34" t="s">
        <v>694</v>
      </c>
      <c r="D357" s="35" t="s">
        <v>711</v>
      </c>
      <c r="E357" s="34" t="s">
        <v>696</v>
      </c>
      <c r="F357" s="36" t="s">
        <v>1064</v>
      </c>
      <c r="G357" s="36" t="s">
        <v>1461</v>
      </c>
      <c r="H357" s="37">
        <v>3172</v>
      </c>
      <c r="I357" s="36" t="s">
        <v>700</v>
      </c>
      <c r="J357" s="34" t="s">
        <v>698</v>
      </c>
      <c r="K357" s="38"/>
      <c r="L357" s="36" t="s">
        <v>695</v>
      </c>
      <c r="M357" s="36" t="s">
        <v>695</v>
      </c>
      <c r="N357" s="38"/>
      <c r="O357" s="38"/>
      <c r="P357" s="1"/>
      <c r="Q357" s="40"/>
    </row>
    <row r="358" spans="2:17" ht="16.5" x14ac:dyDescent="0.3">
      <c r="B358" s="33">
        <v>354</v>
      </c>
      <c r="C358" s="34" t="s">
        <v>694</v>
      </c>
      <c r="D358" s="35" t="s">
        <v>711</v>
      </c>
      <c r="E358" s="34" t="s">
        <v>696</v>
      </c>
      <c r="F358" s="36" t="s">
        <v>1065</v>
      </c>
      <c r="G358" s="36" t="s">
        <v>1462</v>
      </c>
      <c r="H358" s="37">
        <v>1156</v>
      </c>
      <c r="I358" s="36" t="s">
        <v>700</v>
      </c>
      <c r="J358" s="34" t="s">
        <v>698</v>
      </c>
      <c r="K358" s="38"/>
      <c r="L358" s="36" t="s">
        <v>695</v>
      </c>
      <c r="M358" s="36" t="s">
        <v>695</v>
      </c>
      <c r="N358" s="38"/>
      <c r="O358" s="38"/>
      <c r="P358" s="1"/>
      <c r="Q358" s="40"/>
    </row>
    <row r="359" spans="2:17" ht="16.5" x14ac:dyDescent="0.3">
      <c r="B359" s="33">
        <v>355</v>
      </c>
      <c r="C359" s="34" t="s">
        <v>694</v>
      </c>
      <c r="D359" s="35" t="s">
        <v>711</v>
      </c>
      <c r="E359" s="34" t="s">
        <v>696</v>
      </c>
      <c r="F359" s="36" t="s">
        <v>1066</v>
      </c>
      <c r="G359" s="36" t="s">
        <v>1463</v>
      </c>
      <c r="H359" s="37">
        <v>3018</v>
      </c>
      <c r="I359" s="36" t="s">
        <v>697</v>
      </c>
      <c r="J359" s="34" t="s">
        <v>698</v>
      </c>
      <c r="K359" s="38"/>
      <c r="L359" s="36" t="s">
        <v>695</v>
      </c>
      <c r="M359" s="36" t="s">
        <v>695</v>
      </c>
      <c r="N359" s="38"/>
      <c r="O359" s="38"/>
      <c r="P359" s="1"/>
      <c r="Q359" s="40"/>
    </row>
    <row r="360" spans="2:17" ht="16.5" x14ac:dyDescent="0.3">
      <c r="B360" s="33">
        <v>356</v>
      </c>
      <c r="C360" s="34" t="s">
        <v>694</v>
      </c>
      <c r="D360" s="35" t="s">
        <v>711</v>
      </c>
      <c r="E360" s="34" t="s">
        <v>696</v>
      </c>
      <c r="F360" s="36" t="s">
        <v>1067</v>
      </c>
      <c r="G360" s="36" t="s">
        <v>1464</v>
      </c>
      <c r="H360" s="37">
        <v>1001</v>
      </c>
      <c r="I360" s="36" t="s">
        <v>701</v>
      </c>
      <c r="J360" s="34" t="s">
        <v>698</v>
      </c>
      <c r="K360" s="38"/>
      <c r="L360" s="36" t="s">
        <v>695</v>
      </c>
      <c r="M360" s="36" t="s">
        <v>695</v>
      </c>
      <c r="N360" s="38"/>
      <c r="O360" s="38"/>
      <c r="P360" s="1"/>
      <c r="Q360" s="40"/>
    </row>
    <row r="361" spans="2:17" ht="16.5" x14ac:dyDescent="0.3">
      <c r="B361" s="33">
        <v>357</v>
      </c>
      <c r="C361" s="34" t="s">
        <v>694</v>
      </c>
      <c r="D361" s="35" t="s">
        <v>711</v>
      </c>
      <c r="E361" s="34" t="s">
        <v>696</v>
      </c>
      <c r="F361" s="36" t="s">
        <v>1068</v>
      </c>
      <c r="G361" s="36" t="s">
        <v>1465</v>
      </c>
      <c r="H361" s="37">
        <v>3075</v>
      </c>
      <c r="I361" s="36" t="s">
        <v>697</v>
      </c>
      <c r="J361" s="34" t="s">
        <v>698</v>
      </c>
      <c r="K361" s="38"/>
      <c r="L361" s="36" t="s">
        <v>695</v>
      </c>
      <c r="M361" s="36" t="s">
        <v>695</v>
      </c>
      <c r="N361" s="38"/>
      <c r="O361" s="38"/>
      <c r="P361" s="1"/>
      <c r="Q361" s="40"/>
    </row>
    <row r="362" spans="2:17" ht="16.5" x14ac:dyDescent="0.3">
      <c r="B362" s="33">
        <v>358</v>
      </c>
      <c r="C362" s="34" t="s">
        <v>694</v>
      </c>
      <c r="D362" s="35" t="s">
        <v>711</v>
      </c>
      <c r="E362" s="34" t="s">
        <v>696</v>
      </c>
      <c r="F362" s="36" t="s">
        <v>1069</v>
      </c>
      <c r="G362" s="36" t="s">
        <v>1466</v>
      </c>
      <c r="H362" s="37">
        <v>3103</v>
      </c>
      <c r="I362" s="36" t="s">
        <v>697</v>
      </c>
      <c r="J362" s="34" t="s">
        <v>698</v>
      </c>
      <c r="K362" s="38"/>
      <c r="L362" s="36" t="s">
        <v>695</v>
      </c>
      <c r="M362" s="36" t="s">
        <v>695</v>
      </c>
      <c r="N362" s="38"/>
      <c r="O362" s="38"/>
      <c r="P362" s="1"/>
      <c r="Q362" s="40"/>
    </row>
    <row r="363" spans="2:17" ht="16.5" x14ac:dyDescent="0.3">
      <c r="B363" s="33">
        <v>359</v>
      </c>
      <c r="C363" s="34" t="s">
        <v>694</v>
      </c>
      <c r="D363" s="35" t="s">
        <v>711</v>
      </c>
      <c r="E363" s="34" t="s">
        <v>696</v>
      </c>
      <c r="F363" s="36" t="s">
        <v>1070</v>
      </c>
      <c r="G363" s="36" t="s">
        <v>1467</v>
      </c>
      <c r="H363" s="37">
        <v>1383</v>
      </c>
      <c r="I363" s="36" t="s">
        <v>697</v>
      </c>
      <c r="J363" s="34" t="s">
        <v>698</v>
      </c>
      <c r="K363" s="38"/>
      <c r="L363" s="36" t="s">
        <v>695</v>
      </c>
      <c r="M363" s="36" t="s">
        <v>695</v>
      </c>
      <c r="N363" s="38"/>
      <c r="O363" s="38"/>
      <c r="P363" s="1"/>
      <c r="Q363" s="40"/>
    </row>
    <row r="364" spans="2:17" ht="16.5" x14ac:dyDescent="0.3">
      <c r="B364" s="33">
        <v>360</v>
      </c>
      <c r="C364" s="34" t="s">
        <v>694</v>
      </c>
      <c r="D364" s="35" t="s">
        <v>711</v>
      </c>
      <c r="E364" s="34" t="s">
        <v>696</v>
      </c>
      <c r="F364" s="36" t="s">
        <v>1071</v>
      </c>
      <c r="G364" s="36" t="s">
        <v>1468</v>
      </c>
      <c r="H364" s="37">
        <v>2558</v>
      </c>
      <c r="I364" s="36" t="s">
        <v>697</v>
      </c>
      <c r="J364" s="34" t="s">
        <v>698</v>
      </c>
      <c r="K364" s="38"/>
      <c r="L364" s="36" t="s">
        <v>695</v>
      </c>
      <c r="M364" s="36" t="s">
        <v>695</v>
      </c>
      <c r="N364" s="38"/>
      <c r="O364" s="38"/>
      <c r="P364" s="1"/>
      <c r="Q364" s="40"/>
    </row>
    <row r="365" spans="2:17" ht="16.5" x14ac:dyDescent="0.3">
      <c r="B365" s="33">
        <v>361</v>
      </c>
      <c r="C365" s="34" t="s">
        <v>694</v>
      </c>
      <c r="D365" s="35" t="s">
        <v>711</v>
      </c>
      <c r="E365" s="34" t="s">
        <v>696</v>
      </c>
      <c r="F365" s="36" t="s">
        <v>1072</v>
      </c>
      <c r="G365" s="36" t="s">
        <v>1469</v>
      </c>
      <c r="H365" s="37">
        <v>3568</v>
      </c>
      <c r="I365" s="36" t="s">
        <v>697</v>
      </c>
      <c r="J365" s="34" t="s">
        <v>698</v>
      </c>
      <c r="K365" s="38"/>
      <c r="L365" s="36" t="s">
        <v>695</v>
      </c>
      <c r="M365" s="36" t="s">
        <v>695</v>
      </c>
      <c r="N365" s="38"/>
      <c r="O365" s="38"/>
      <c r="P365" s="1"/>
      <c r="Q365" s="40"/>
    </row>
    <row r="366" spans="2:17" ht="16.5" x14ac:dyDescent="0.3">
      <c r="B366" s="33">
        <v>362</v>
      </c>
      <c r="C366" s="34" t="s">
        <v>694</v>
      </c>
      <c r="D366" s="35" t="s">
        <v>711</v>
      </c>
      <c r="E366" s="34" t="s">
        <v>696</v>
      </c>
      <c r="F366" s="36" t="s">
        <v>1073</v>
      </c>
      <c r="G366" s="36" t="s">
        <v>1470</v>
      </c>
      <c r="H366" s="37">
        <v>610</v>
      </c>
      <c r="I366" s="36" t="s">
        <v>707</v>
      </c>
      <c r="J366" s="34" t="s">
        <v>698</v>
      </c>
      <c r="K366" s="38"/>
      <c r="L366" s="36" t="s">
        <v>695</v>
      </c>
      <c r="M366" s="36" t="s">
        <v>695</v>
      </c>
      <c r="N366" s="38"/>
      <c r="O366" s="38"/>
      <c r="P366" s="1"/>
      <c r="Q366" s="40"/>
    </row>
    <row r="367" spans="2:17" ht="16.5" x14ac:dyDescent="0.3">
      <c r="B367" s="33">
        <v>363</v>
      </c>
      <c r="C367" s="34" t="s">
        <v>694</v>
      </c>
      <c r="D367" s="35" t="s">
        <v>711</v>
      </c>
      <c r="E367" s="34" t="s">
        <v>696</v>
      </c>
      <c r="F367" s="36" t="s">
        <v>1073</v>
      </c>
      <c r="G367" s="36" t="s">
        <v>1470</v>
      </c>
      <c r="H367" s="37">
        <v>610</v>
      </c>
      <c r="I367" s="36" t="s">
        <v>707</v>
      </c>
      <c r="J367" s="34" t="s">
        <v>698</v>
      </c>
      <c r="K367" s="38"/>
      <c r="L367" s="36" t="s">
        <v>695</v>
      </c>
      <c r="M367" s="36" t="s">
        <v>695</v>
      </c>
      <c r="N367" s="38"/>
      <c r="O367" s="38"/>
      <c r="P367" s="1"/>
      <c r="Q367" s="40"/>
    </row>
    <row r="368" spans="2:17" ht="16.5" x14ac:dyDescent="0.3">
      <c r="B368" s="33">
        <v>364</v>
      </c>
      <c r="C368" s="34" t="s">
        <v>694</v>
      </c>
      <c r="D368" s="35" t="s">
        <v>711</v>
      </c>
      <c r="E368" s="34" t="s">
        <v>696</v>
      </c>
      <c r="F368" s="36" t="s">
        <v>1074</v>
      </c>
      <c r="G368" s="36" t="s">
        <v>1471</v>
      </c>
      <c r="H368" s="37">
        <v>610</v>
      </c>
      <c r="I368" s="36" t="s">
        <v>707</v>
      </c>
      <c r="J368" s="34" t="s">
        <v>698</v>
      </c>
      <c r="K368" s="38"/>
      <c r="L368" s="36" t="s">
        <v>695</v>
      </c>
      <c r="M368" s="36" t="s">
        <v>695</v>
      </c>
      <c r="N368" s="38"/>
      <c r="O368" s="38"/>
      <c r="P368" s="1"/>
      <c r="Q368" s="40"/>
    </row>
    <row r="369" spans="2:17" ht="16.5" x14ac:dyDescent="0.3">
      <c r="B369" s="33">
        <v>365</v>
      </c>
      <c r="C369" s="34" t="s">
        <v>694</v>
      </c>
      <c r="D369" s="35" t="s">
        <v>711</v>
      </c>
      <c r="E369" s="34" t="s">
        <v>696</v>
      </c>
      <c r="F369" s="36" t="s">
        <v>1074</v>
      </c>
      <c r="G369" s="36" t="s">
        <v>1471</v>
      </c>
      <c r="H369" s="37">
        <v>610</v>
      </c>
      <c r="I369" s="36" t="s">
        <v>707</v>
      </c>
      <c r="J369" s="34" t="s">
        <v>698</v>
      </c>
      <c r="K369" s="38"/>
      <c r="L369" s="36" t="s">
        <v>695</v>
      </c>
      <c r="M369" s="36" t="s">
        <v>695</v>
      </c>
      <c r="N369" s="38"/>
      <c r="O369" s="38"/>
      <c r="P369" s="1"/>
      <c r="Q369" s="40"/>
    </row>
    <row r="370" spans="2:17" ht="16.5" x14ac:dyDescent="0.3">
      <c r="B370" s="33">
        <v>366</v>
      </c>
      <c r="C370" s="34" t="s">
        <v>694</v>
      </c>
      <c r="D370" s="35" t="s">
        <v>711</v>
      </c>
      <c r="E370" s="34" t="s">
        <v>696</v>
      </c>
      <c r="F370" s="36" t="s">
        <v>1075</v>
      </c>
      <c r="G370" s="36" t="s">
        <v>1472</v>
      </c>
      <c r="H370" s="37">
        <v>10158</v>
      </c>
      <c r="I370" s="36" t="s">
        <v>707</v>
      </c>
      <c r="J370" s="34" t="s">
        <v>698</v>
      </c>
      <c r="K370" s="38"/>
      <c r="L370" s="36" t="s">
        <v>695</v>
      </c>
      <c r="M370" s="36" t="s">
        <v>695</v>
      </c>
      <c r="N370" s="38"/>
      <c r="O370" s="38"/>
      <c r="P370" s="1"/>
      <c r="Q370" s="40"/>
    </row>
    <row r="371" spans="2:17" ht="16.5" x14ac:dyDescent="0.3">
      <c r="B371" s="33">
        <v>367</v>
      </c>
      <c r="C371" s="34" t="s">
        <v>694</v>
      </c>
      <c r="D371" s="35" t="s">
        <v>711</v>
      </c>
      <c r="E371" s="34" t="s">
        <v>696</v>
      </c>
      <c r="F371" s="36" t="s">
        <v>1075</v>
      </c>
      <c r="G371" s="36" t="s">
        <v>1472</v>
      </c>
      <c r="H371" s="37">
        <v>10158</v>
      </c>
      <c r="I371" s="36" t="s">
        <v>707</v>
      </c>
      <c r="J371" s="34" t="s">
        <v>698</v>
      </c>
      <c r="K371" s="38"/>
      <c r="L371" s="36" t="s">
        <v>695</v>
      </c>
      <c r="M371" s="36" t="s">
        <v>695</v>
      </c>
      <c r="N371" s="38"/>
      <c r="O371" s="38"/>
      <c r="P371" s="1"/>
      <c r="Q371" s="40"/>
    </row>
    <row r="372" spans="2:17" ht="16.5" x14ac:dyDescent="0.3">
      <c r="B372" s="33">
        <v>368</v>
      </c>
      <c r="C372" s="34" t="s">
        <v>694</v>
      </c>
      <c r="D372" s="35" t="s">
        <v>711</v>
      </c>
      <c r="E372" s="34" t="s">
        <v>696</v>
      </c>
      <c r="F372" s="36" t="s">
        <v>1076</v>
      </c>
      <c r="G372" s="36" t="s">
        <v>1473</v>
      </c>
      <c r="H372" s="37">
        <v>2000</v>
      </c>
      <c r="I372" s="36" t="s">
        <v>707</v>
      </c>
      <c r="J372" s="34" t="s">
        <v>698</v>
      </c>
      <c r="K372" s="38"/>
      <c r="L372" s="36" t="s">
        <v>695</v>
      </c>
      <c r="M372" s="36" t="s">
        <v>695</v>
      </c>
      <c r="N372" s="38"/>
      <c r="O372" s="38"/>
      <c r="P372" s="1"/>
      <c r="Q372" s="40"/>
    </row>
    <row r="373" spans="2:17" ht="16.5" x14ac:dyDescent="0.3">
      <c r="B373" s="33">
        <v>369</v>
      </c>
      <c r="C373" s="34" t="s">
        <v>694</v>
      </c>
      <c r="D373" s="35" t="s">
        <v>711</v>
      </c>
      <c r="E373" s="34" t="s">
        <v>696</v>
      </c>
      <c r="F373" s="36" t="s">
        <v>1076</v>
      </c>
      <c r="G373" s="36" t="s">
        <v>1473</v>
      </c>
      <c r="H373" s="37">
        <v>2000</v>
      </c>
      <c r="I373" s="36" t="s">
        <v>707</v>
      </c>
      <c r="J373" s="34" t="s">
        <v>698</v>
      </c>
      <c r="K373" s="38"/>
      <c r="L373" s="36" t="s">
        <v>695</v>
      </c>
      <c r="M373" s="36" t="s">
        <v>695</v>
      </c>
      <c r="N373" s="38"/>
      <c r="O373" s="38"/>
      <c r="P373" s="1"/>
      <c r="Q373" s="40"/>
    </row>
    <row r="374" spans="2:17" ht="16.5" x14ac:dyDescent="0.3">
      <c r="B374" s="33">
        <v>370</v>
      </c>
      <c r="C374" s="34" t="s">
        <v>694</v>
      </c>
      <c r="D374" s="35" t="s">
        <v>711</v>
      </c>
      <c r="E374" s="34" t="s">
        <v>696</v>
      </c>
      <c r="F374" s="36" t="s">
        <v>1077</v>
      </c>
      <c r="G374" s="36" t="s">
        <v>1474</v>
      </c>
      <c r="H374" s="37">
        <v>1500</v>
      </c>
      <c r="I374" s="36" t="s">
        <v>707</v>
      </c>
      <c r="J374" s="34" t="s">
        <v>698</v>
      </c>
      <c r="K374" s="38"/>
      <c r="L374" s="36" t="s">
        <v>695</v>
      </c>
      <c r="M374" s="36" t="s">
        <v>695</v>
      </c>
      <c r="N374" s="38"/>
      <c r="O374" s="38"/>
      <c r="P374" s="1"/>
      <c r="Q374" s="40"/>
    </row>
    <row r="375" spans="2:17" ht="16.5" x14ac:dyDescent="0.3">
      <c r="B375" s="33">
        <v>371</v>
      </c>
      <c r="C375" s="34" t="s">
        <v>694</v>
      </c>
      <c r="D375" s="35" t="s">
        <v>711</v>
      </c>
      <c r="E375" s="34" t="s">
        <v>696</v>
      </c>
      <c r="F375" s="36" t="s">
        <v>1077</v>
      </c>
      <c r="G375" s="36" t="s">
        <v>1474</v>
      </c>
      <c r="H375" s="37">
        <v>1500</v>
      </c>
      <c r="I375" s="36" t="s">
        <v>707</v>
      </c>
      <c r="J375" s="34" t="s">
        <v>698</v>
      </c>
      <c r="K375" s="38"/>
      <c r="L375" s="36" t="s">
        <v>695</v>
      </c>
      <c r="M375" s="36" t="s">
        <v>695</v>
      </c>
      <c r="N375" s="38"/>
      <c r="O375" s="38"/>
      <c r="P375" s="1"/>
      <c r="Q375" s="40"/>
    </row>
    <row r="376" spans="2:17" ht="16.5" x14ac:dyDescent="0.3">
      <c r="B376" s="33">
        <v>372</v>
      </c>
      <c r="C376" s="34" t="s">
        <v>694</v>
      </c>
      <c r="D376" s="35" t="s">
        <v>711</v>
      </c>
      <c r="E376" s="34" t="s">
        <v>696</v>
      </c>
      <c r="F376" s="36" t="s">
        <v>1078</v>
      </c>
      <c r="G376" s="36" t="s">
        <v>1475</v>
      </c>
      <c r="H376" s="37">
        <v>810</v>
      </c>
      <c r="I376" s="36" t="s">
        <v>707</v>
      </c>
      <c r="J376" s="34" t="s">
        <v>698</v>
      </c>
      <c r="K376" s="38"/>
      <c r="L376" s="36" t="s">
        <v>695</v>
      </c>
      <c r="M376" s="36" t="s">
        <v>695</v>
      </c>
      <c r="N376" s="38"/>
      <c r="O376" s="38"/>
      <c r="P376" s="1"/>
      <c r="Q376" s="40"/>
    </row>
    <row r="377" spans="2:17" ht="16.5" x14ac:dyDescent="0.3">
      <c r="B377" s="33">
        <v>373</v>
      </c>
      <c r="C377" s="34" t="s">
        <v>694</v>
      </c>
      <c r="D377" s="35" t="s">
        <v>711</v>
      </c>
      <c r="E377" s="34" t="s">
        <v>696</v>
      </c>
      <c r="F377" s="36" t="s">
        <v>1079</v>
      </c>
      <c r="G377" s="36" t="s">
        <v>1476</v>
      </c>
      <c r="H377" s="37">
        <v>1500</v>
      </c>
      <c r="I377" s="36" t="s">
        <v>707</v>
      </c>
      <c r="J377" s="34" t="s">
        <v>698</v>
      </c>
      <c r="K377" s="38"/>
      <c r="L377" s="36" t="s">
        <v>695</v>
      </c>
      <c r="M377" s="36" t="s">
        <v>695</v>
      </c>
      <c r="N377" s="38"/>
      <c r="O377" s="38"/>
      <c r="P377" s="1"/>
      <c r="Q377" s="40"/>
    </row>
    <row r="378" spans="2:17" ht="16.5" x14ac:dyDescent="0.3">
      <c r="B378" s="33">
        <v>374</v>
      </c>
      <c r="C378" s="34" t="s">
        <v>694</v>
      </c>
      <c r="D378" s="35" t="s">
        <v>711</v>
      </c>
      <c r="E378" s="34" t="s">
        <v>696</v>
      </c>
      <c r="F378" s="36" t="s">
        <v>1079</v>
      </c>
      <c r="G378" s="36" t="s">
        <v>1476</v>
      </c>
      <c r="H378" s="37">
        <v>1500</v>
      </c>
      <c r="I378" s="36" t="s">
        <v>707</v>
      </c>
      <c r="J378" s="34" t="s">
        <v>698</v>
      </c>
      <c r="K378" s="38"/>
      <c r="L378" s="36" t="s">
        <v>695</v>
      </c>
      <c r="M378" s="36" t="s">
        <v>695</v>
      </c>
      <c r="N378" s="38"/>
      <c r="O378" s="38"/>
      <c r="P378" s="1"/>
      <c r="Q378" s="40"/>
    </row>
    <row r="379" spans="2:17" ht="16.5" x14ac:dyDescent="0.3">
      <c r="B379" s="33">
        <v>375</v>
      </c>
      <c r="C379" s="34" t="s">
        <v>694</v>
      </c>
      <c r="D379" s="35" t="s">
        <v>711</v>
      </c>
      <c r="E379" s="34" t="s">
        <v>696</v>
      </c>
      <c r="F379" s="36" t="s">
        <v>1080</v>
      </c>
      <c r="G379" s="36" t="s">
        <v>1477</v>
      </c>
      <c r="H379" s="37">
        <v>4000</v>
      </c>
      <c r="I379" s="36" t="s">
        <v>707</v>
      </c>
      <c r="J379" s="34" t="s">
        <v>698</v>
      </c>
      <c r="K379" s="38"/>
      <c r="L379" s="36" t="s">
        <v>695</v>
      </c>
      <c r="M379" s="36" t="s">
        <v>695</v>
      </c>
      <c r="N379" s="38"/>
      <c r="O379" s="38"/>
      <c r="P379" s="1"/>
      <c r="Q379" s="40"/>
    </row>
    <row r="380" spans="2:17" ht="16.5" x14ac:dyDescent="0.3">
      <c r="B380" s="33">
        <v>376</v>
      </c>
      <c r="C380" s="34" t="s">
        <v>694</v>
      </c>
      <c r="D380" s="35" t="s">
        <v>711</v>
      </c>
      <c r="E380" s="34" t="s">
        <v>696</v>
      </c>
      <c r="F380" s="36" t="s">
        <v>1080</v>
      </c>
      <c r="G380" s="36" t="s">
        <v>1477</v>
      </c>
      <c r="H380" s="37">
        <v>4000</v>
      </c>
      <c r="I380" s="36" t="s">
        <v>707</v>
      </c>
      <c r="J380" s="34" t="s">
        <v>698</v>
      </c>
      <c r="K380" s="38"/>
      <c r="L380" s="36" t="s">
        <v>695</v>
      </c>
      <c r="M380" s="36" t="s">
        <v>695</v>
      </c>
      <c r="N380" s="38"/>
      <c r="O380" s="38"/>
      <c r="P380" s="1"/>
      <c r="Q380" s="40"/>
    </row>
    <row r="381" spans="2:17" ht="16.5" x14ac:dyDescent="0.3">
      <c r="B381" s="33">
        <v>377</v>
      </c>
      <c r="C381" s="34" t="s">
        <v>694</v>
      </c>
      <c r="D381" s="35" t="s">
        <v>711</v>
      </c>
      <c r="E381" s="34" t="s">
        <v>696</v>
      </c>
      <c r="F381" s="36" t="s">
        <v>1081</v>
      </c>
      <c r="G381" s="36" t="s">
        <v>1478</v>
      </c>
      <c r="H381" s="37">
        <v>2586</v>
      </c>
      <c r="I381" s="36" t="s">
        <v>707</v>
      </c>
      <c r="J381" s="34" t="s">
        <v>698</v>
      </c>
      <c r="K381" s="38"/>
      <c r="L381" s="36" t="s">
        <v>695</v>
      </c>
      <c r="M381" s="36" t="s">
        <v>695</v>
      </c>
      <c r="N381" s="38"/>
      <c r="O381" s="38"/>
      <c r="P381" s="1"/>
      <c r="Q381" s="40"/>
    </row>
    <row r="382" spans="2:17" ht="16.5" x14ac:dyDescent="0.3">
      <c r="B382" s="33">
        <v>378</v>
      </c>
      <c r="C382" s="34" t="s">
        <v>694</v>
      </c>
      <c r="D382" s="35" t="s">
        <v>711</v>
      </c>
      <c r="E382" s="34" t="s">
        <v>696</v>
      </c>
      <c r="F382" s="36" t="s">
        <v>1081</v>
      </c>
      <c r="G382" s="36" t="s">
        <v>1478</v>
      </c>
      <c r="H382" s="37">
        <v>2586</v>
      </c>
      <c r="I382" s="36" t="s">
        <v>707</v>
      </c>
      <c r="J382" s="34" t="s">
        <v>698</v>
      </c>
      <c r="K382" s="38"/>
      <c r="L382" s="36" t="s">
        <v>695</v>
      </c>
      <c r="M382" s="36" t="s">
        <v>695</v>
      </c>
      <c r="N382" s="38"/>
      <c r="O382" s="38"/>
      <c r="P382" s="1"/>
      <c r="Q382" s="40"/>
    </row>
    <row r="383" spans="2:17" ht="16.5" x14ac:dyDescent="0.3">
      <c r="B383" s="33">
        <v>379</v>
      </c>
      <c r="C383" s="34" t="s">
        <v>694</v>
      </c>
      <c r="D383" s="35" t="s">
        <v>711</v>
      </c>
      <c r="E383" s="34" t="s">
        <v>696</v>
      </c>
      <c r="F383" s="36" t="s">
        <v>1082</v>
      </c>
      <c r="G383" s="36" t="s">
        <v>1479</v>
      </c>
      <c r="H383" s="37">
        <v>25159</v>
      </c>
      <c r="I383" s="36" t="s">
        <v>707</v>
      </c>
      <c r="J383" s="34" t="s">
        <v>698</v>
      </c>
      <c r="K383" s="38"/>
      <c r="L383" s="36" t="s">
        <v>695</v>
      </c>
      <c r="M383" s="36" t="s">
        <v>695</v>
      </c>
      <c r="N383" s="38"/>
      <c r="O383" s="38"/>
      <c r="P383" s="1"/>
      <c r="Q383" s="40"/>
    </row>
    <row r="384" spans="2:17" ht="16.5" x14ac:dyDescent="0.3">
      <c r="B384" s="33">
        <v>380</v>
      </c>
      <c r="C384" s="34" t="s">
        <v>694</v>
      </c>
      <c r="D384" s="35" t="s">
        <v>711</v>
      </c>
      <c r="E384" s="34" t="s">
        <v>696</v>
      </c>
      <c r="F384" s="36" t="s">
        <v>1082</v>
      </c>
      <c r="G384" s="36" t="s">
        <v>1479</v>
      </c>
      <c r="H384" s="37">
        <v>25159</v>
      </c>
      <c r="I384" s="36" t="s">
        <v>707</v>
      </c>
      <c r="J384" s="34" t="s">
        <v>698</v>
      </c>
      <c r="K384" s="38"/>
      <c r="L384" s="36" t="s">
        <v>695</v>
      </c>
      <c r="M384" s="36" t="s">
        <v>695</v>
      </c>
      <c r="N384" s="38"/>
      <c r="O384" s="38"/>
      <c r="P384" s="1"/>
      <c r="Q384" s="40"/>
    </row>
    <row r="385" spans="2:17" ht="16.5" x14ac:dyDescent="0.3">
      <c r="B385" s="33">
        <v>381</v>
      </c>
      <c r="C385" s="34" t="s">
        <v>694</v>
      </c>
      <c r="D385" s="35" t="s">
        <v>711</v>
      </c>
      <c r="E385" s="34" t="s">
        <v>696</v>
      </c>
      <c r="F385" s="36" t="s">
        <v>1083</v>
      </c>
      <c r="G385" s="36" t="s">
        <v>1480</v>
      </c>
      <c r="H385" s="37">
        <v>20862</v>
      </c>
      <c r="I385" s="36" t="s">
        <v>707</v>
      </c>
      <c r="J385" s="34" t="s">
        <v>698</v>
      </c>
      <c r="K385" s="38"/>
      <c r="L385" s="36" t="s">
        <v>695</v>
      </c>
      <c r="M385" s="36" t="s">
        <v>695</v>
      </c>
      <c r="N385" s="38"/>
      <c r="O385" s="38"/>
      <c r="P385" s="1"/>
      <c r="Q385" s="40"/>
    </row>
    <row r="386" spans="2:17" ht="16.5" x14ac:dyDescent="0.3">
      <c r="B386" s="33">
        <v>382</v>
      </c>
      <c r="C386" s="34" t="s">
        <v>694</v>
      </c>
      <c r="D386" s="35" t="s">
        <v>711</v>
      </c>
      <c r="E386" s="34" t="s">
        <v>696</v>
      </c>
      <c r="F386" s="36" t="s">
        <v>1083</v>
      </c>
      <c r="G386" s="36" t="s">
        <v>1480</v>
      </c>
      <c r="H386" s="37">
        <v>20862</v>
      </c>
      <c r="I386" s="36" t="s">
        <v>707</v>
      </c>
      <c r="J386" s="34" t="s">
        <v>698</v>
      </c>
      <c r="K386" s="38"/>
      <c r="L386" s="36" t="s">
        <v>695</v>
      </c>
      <c r="M386" s="36" t="s">
        <v>695</v>
      </c>
      <c r="N386" s="38"/>
      <c r="O386" s="38"/>
      <c r="P386" s="1"/>
      <c r="Q386" s="40"/>
    </row>
    <row r="387" spans="2:17" ht="16.5" x14ac:dyDescent="0.3">
      <c r="B387" s="33">
        <v>383</v>
      </c>
      <c r="C387" s="34" t="s">
        <v>694</v>
      </c>
      <c r="D387" s="35" t="s">
        <v>711</v>
      </c>
      <c r="E387" s="34" t="s">
        <v>696</v>
      </c>
      <c r="F387" s="36" t="s">
        <v>1084</v>
      </c>
      <c r="G387" s="36" t="s">
        <v>1481</v>
      </c>
      <c r="H387" s="37">
        <v>81051</v>
      </c>
      <c r="I387" s="36" t="s">
        <v>707</v>
      </c>
      <c r="J387" s="34" t="s">
        <v>698</v>
      </c>
      <c r="K387" s="38"/>
      <c r="L387" s="36" t="s">
        <v>695</v>
      </c>
      <c r="M387" s="36" t="s">
        <v>695</v>
      </c>
      <c r="N387" s="38"/>
      <c r="O387" s="38"/>
      <c r="P387" s="1"/>
      <c r="Q387" s="40"/>
    </row>
    <row r="388" spans="2:17" ht="16.5" x14ac:dyDescent="0.3">
      <c r="B388" s="33">
        <v>384</v>
      </c>
      <c r="C388" s="34" t="s">
        <v>694</v>
      </c>
      <c r="D388" s="35" t="s">
        <v>711</v>
      </c>
      <c r="E388" s="34" t="s">
        <v>696</v>
      </c>
      <c r="F388" s="36" t="s">
        <v>1084</v>
      </c>
      <c r="G388" s="36" t="s">
        <v>1481</v>
      </c>
      <c r="H388" s="37">
        <v>81051</v>
      </c>
      <c r="I388" s="36" t="s">
        <v>707</v>
      </c>
      <c r="J388" s="34" t="s">
        <v>698</v>
      </c>
      <c r="K388" s="38"/>
      <c r="L388" s="36" t="s">
        <v>695</v>
      </c>
      <c r="M388" s="36" t="s">
        <v>695</v>
      </c>
      <c r="N388" s="38"/>
      <c r="O388" s="38"/>
      <c r="P388" s="1"/>
      <c r="Q388" s="40"/>
    </row>
    <row r="389" spans="2:17" ht="16.5" x14ac:dyDescent="0.3">
      <c r="B389" s="33">
        <v>385</v>
      </c>
      <c r="C389" s="34" t="s">
        <v>694</v>
      </c>
      <c r="D389" s="35" t="s">
        <v>711</v>
      </c>
      <c r="E389" s="34" t="s">
        <v>696</v>
      </c>
      <c r="F389" s="36" t="s">
        <v>1085</v>
      </c>
      <c r="G389" s="36" t="s">
        <v>1482</v>
      </c>
      <c r="H389" s="37">
        <v>3275</v>
      </c>
      <c r="I389" s="36" t="s">
        <v>707</v>
      </c>
      <c r="J389" s="34" t="s">
        <v>698</v>
      </c>
      <c r="K389" s="38"/>
      <c r="L389" s="36" t="s">
        <v>695</v>
      </c>
      <c r="M389" s="36" t="s">
        <v>695</v>
      </c>
      <c r="N389" s="38"/>
      <c r="O389" s="38"/>
      <c r="P389" s="1"/>
      <c r="Q389" s="40"/>
    </row>
    <row r="390" spans="2:17" ht="16.5" x14ac:dyDescent="0.3">
      <c r="B390" s="33">
        <v>386</v>
      </c>
      <c r="C390" s="34" t="s">
        <v>694</v>
      </c>
      <c r="D390" s="35" t="s">
        <v>711</v>
      </c>
      <c r="E390" s="34" t="s">
        <v>696</v>
      </c>
      <c r="F390" s="36" t="s">
        <v>1085</v>
      </c>
      <c r="G390" s="36" t="s">
        <v>1482</v>
      </c>
      <c r="H390" s="37">
        <v>3275</v>
      </c>
      <c r="I390" s="36" t="s">
        <v>707</v>
      </c>
      <c r="J390" s="34" t="s">
        <v>698</v>
      </c>
      <c r="K390" s="38"/>
      <c r="L390" s="36" t="s">
        <v>695</v>
      </c>
      <c r="M390" s="36" t="s">
        <v>695</v>
      </c>
      <c r="N390" s="38"/>
      <c r="O390" s="38"/>
      <c r="P390" s="1"/>
      <c r="Q390" s="40"/>
    </row>
    <row r="391" spans="2:17" ht="16.5" x14ac:dyDescent="0.3">
      <c r="B391" s="33">
        <v>387</v>
      </c>
      <c r="C391" s="34" t="s">
        <v>694</v>
      </c>
      <c r="D391" s="35" t="s">
        <v>711</v>
      </c>
      <c r="E391" s="34" t="s">
        <v>696</v>
      </c>
      <c r="F391" s="36" t="s">
        <v>1086</v>
      </c>
      <c r="G391" s="36" t="s">
        <v>1483</v>
      </c>
      <c r="H391" s="37">
        <v>3550</v>
      </c>
      <c r="I391" s="36" t="s">
        <v>707</v>
      </c>
      <c r="J391" s="34" t="s">
        <v>698</v>
      </c>
      <c r="K391" s="38"/>
      <c r="L391" s="36" t="s">
        <v>695</v>
      </c>
      <c r="M391" s="36" t="s">
        <v>695</v>
      </c>
      <c r="N391" s="38"/>
      <c r="O391" s="38"/>
      <c r="P391" s="1"/>
      <c r="Q391" s="40"/>
    </row>
    <row r="392" spans="2:17" ht="16.5" x14ac:dyDescent="0.3">
      <c r="B392" s="33">
        <v>388</v>
      </c>
      <c r="C392" s="34" t="s">
        <v>694</v>
      </c>
      <c r="D392" s="35" t="s">
        <v>711</v>
      </c>
      <c r="E392" s="34" t="s">
        <v>696</v>
      </c>
      <c r="F392" s="36" t="s">
        <v>1086</v>
      </c>
      <c r="G392" s="36" t="s">
        <v>1483</v>
      </c>
      <c r="H392" s="37">
        <v>3550</v>
      </c>
      <c r="I392" s="36" t="s">
        <v>707</v>
      </c>
      <c r="J392" s="34" t="s">
        <v>698</v>
      </c>
      <c r="K392" s="38"/>
      <c r="L392" s="36" t="s">
        <v>695</v>
      </c>
      <c r="M392" s="36" t="s">
        <v>695</v>
      </c>
      <c r="N392" s="38"/>
      <c r="O392" s="38"/>
      <c r="P392" s="1"/>
      <c r="Q392" s="40"/>
    </row>
    <row r="393" spans="2:17" ht="16.5" x14ac:dyDescent="0.3">
      <c r="B393" s="33">
        <v>389</v>
      </c>
      <c r="C393" s="34" t="s">
        <v>694</v>
      </c>
      <c r="D393" s="35" t="s">
        <v>711</v>
      </c>
      <c r="E393" s="34" t="s">
        <v>696</v>
      </c>
      <c r="F393" s="36" t="s">
        <v>1087</v>
      </c>
      <c r="G393" s="36" t="s">
        <v>1484</v>
      </c>
      <c r="H393" s="37">
        <v>3200</v>
      </c>
      <c r="I393" s="36" t="s">
        <v>707</v>
      </c>
      <c r="J393" s="34" t="s">
        <v>698</v>
      </c>
      <c r="K393" s="38"/>
      <c r="L393" s="36" t="s">
        <v>695</v>
      </c>
      <c r="M393" s="36" t="s">
        <v>695</v>
      </c>
      <c r="N393" s="38"/>
      <c r="O393" s="38"/>
      <c r="P393" s="1"/>
      <c r="Q393" s="40"/>
    </row>
    <row r="394" spans="2:17" ht="16.5" x14ac:dyDescent="0.3">
      <c r="B394" s="33">
        <v>390</v>
      </c>
      <c r="C394" s="34" t="s">
        <v>694</v>
      </c>
      <c r="D394" s="35" t="s">
        <v>711</v>
      </c>
      <c r="E394" s="34" t="s">
        <v>696</v>
      </c>
      <c r="F394" s="36" t="s">
        <v>1087</v>
      </c>
      <c r="G394" s="36" t="s">
        <v>1484</v>
      </c>
      <c r="H394" s="37">
        <v>3200</v>
      </c>
      <c r="I394" s="36" t="s">
        <v>707</v>
      </c>
      <c r="J394" s="34" t="s">
        <v>698</v>
      </c>
      <c r="K394" s="38"/>
      <c r="L394" s="36" t="s">
        <v>695</v>
      </c>
      <c r="M394" s="36" t="s">
        <v>695</v>
      </c>
      <c r="N394" s="38"/>
      <c r="O394" s="38"/>
      <c r="P394" s="1"/>
      <c r="Q394" s="40"/>
    </row>
    <row r="395" spans="2:17" ht="16.5" x14ac:dyDescent="0.3">
      <c r="B395" s="33">
        <v>391</v>
      </c>
      <c r="C395" s="34" t="s">
        <v>694</v>
      </c>
      <c r="D395" s="35" t="s">
        <v>711</v>
      </c>
      <c r="E395" s="34" t="s">
        <v>696</v>
      </c>
      <c r="F395" s="36" t="s">
        <v>1088</v>
      </c>
      <c r="G395" s="36" t="s">
        <v>1485</v>
      </c>
      <c r="H395" s="37">
        <v>5010</v>
      </c>
      <c r="I395" s="36" t="s">
        <v>707</v>
      </c>
      <c r="J395" s="34" t="s">
        <v>698</v>
      </c>
      <c r="K395" s="38"/>
      <c r="L395" s="36" t="s">
        <v>695</v>
      </c>
      <c r="M395" s="36" t="s">
        <v>695</v>
      </c>
      <c r="N395" s="38"/>
      <c r="O395" s="38"/>
      <c r="P395" s="1"/>
      <c r="Q395" s="40"/>
    </row>
    <row r="396" spans="2:17" ht="16.5" x14ac:dyDescent="0.3">
      <c r="B396" s="33">
        <v>392</v>
      </c>
      <c r="C396" s="34" t="s">
        <v>694</v>
      </c>
      <c r="D396" s="35" t="s">
        <v>711</v>
      </c>
      <c r="E396" s="34" t="s">
        <v>696</v>
      </c>
      <c r="F396" s="36" t="s">
        <v>1088</v>
      </c>
      <c r="G396" s="36" t="s">
        <v>1485</v>
      </c>
      <c r="H396" s="37">
        <v>5010</v>
      </c>
      <c r="I396" s="36" t="s">
        <v>707</v>
      </c>
      <c r="J396" s="34" t="s">
        <v>698</v>
      </c>
      <c r="K396" s="38"/>
      <c r="L396" s="36" t="s">
        <v>695</v>
      </c>
      <c r="M396" s="36" t="s">
        <v>695</v>
      </c>
      <c r="N396" s="38"/>
      <c r="O396" s="38"/>
      <c r="P396" s="1"/>
      <c r="Q396" s="40"/>
    </row>
    <row r="397" spans="2:17" ht="16.5" x14ac:dyDescent="0.3">
      <c r="B397" s="33">
        <v>393</v>
      </c>
      <c r="C397" s="34" t="s">
        <v>694</v>
      </c>
      <c r="D397" s="35" t="s">
        <v>711</v>
      </c>
      <c r="E397" s="34" t="s">
        <v>696</v>
      </c>
      <c r="F397" s="36" t="s">
        <v>1089</v>
      </c>
      <c r="G397" s="36" t="s">
        <v>1486</v>
      </c>
      <c r="H397" s="37">
        <v>2512</v>
      </c>
      <c r="I397" s="36" t="s">
        <v>707</v>
      </c>
      <c r="J397" s="34" t="s">
        <v>698</v>
      </c>
      <c r="K397" s="38"/>
      <c r="L397" s="36" t="s">
        <v>695</v>
      </c>
      <c r="M397" s="36" t="s">
        <v>695</v>
      </c>
      <c r="N397" s="38"/>
      <c r="O397" s="38"/>
      <c r="P397" s="1"/>
      <c r="Q397" s="40"/>
    </row>
    <row r="398" spans="2:17" ht="16.5" x14ac:dyDescent="0.3">
      <c r="B398" s="33">
        <v>394</v>
      </c>
      <c r="C398" s="34" t="s">
        <v>694</v>
      </c>
      <c r="D398" s="35" t="s">
        <v>711</v>
      </c>
      <c r="E398" s="34" t="s">
        <v>696</v>
      </c>
      <c r="F398" s="36" t="s">
        <v>1089</v>
      </c>
      <c r="G398" s="36" t="s">
        <v>1486</v>
      </c>
      <c r="H398" s="37">
        <v>2512</v>
      </c>
      <c r="I398" s="36" t="s">
        <v>707</v>
      </c>
      <c r="J398" s="34" t="s">
        <v>698</v>
      </c>
      <c r="K398" s="38"/>
      <c r="L398" s="36" t="s">
        <v>695</v>
      </c>
      <c r="M398" s="36" t="s">
        <v>695</v>
      </c>
      <c r="N398" s="38"/>
      <c r="O398" s="38"/>
      <c r="P398" s="1"/>
      <c r="Q398" s="40"/>
    </row>
    <row r="399" spans="2:17" ht="16.5" x14ac:dyDescent="0.3">
      <c r="B399" s="33">
        <v>395</v>
      </c>
      <c r="C399" s="34" t="s">
        <v>694</v>
      </c>
      <c r="D399" s="35" t="s">
        <v>711</v>
      </c>
      <c r="E399" s="34" t="s">
        <v>696</v>
      </c>
      <c r="F399" s="36" t="s">
        <v>1090</v>
      </c>
      <c r="G399" s="36" t="s">
        <v>1487</v>
      </c>
      <c r="H399" s="37">
        <v>1000</v>
      </c>
      <c r="I399" s="36" t="s">
        <v>707</v>
      </c>
      <c r="J399" s="34" t="s">
        <v>698</v>
      </c>
      <c r="K399" s="38"/>
      <c r="L399" s="36" t="s">
        <v>695</v>
      </c>
      <c r="M399" s="36" t="s">
        <v>695</v>
      </c>
      <c r="N399" s="38"/>
      <c r="O399" s="38"/>
      <c r="P399" s="1"/>
      <c r="Q399" s="40"/>
    </row>
    <row r="400" spans="2:17" ht="16.5" x14ac:dyDescent="0.3">
      <c r="B400" s="33">
        <v>396</v>
      </c>
      <c r="C400" s="34" t="s">
        <v>694</v>
      </c>
      <c r="D400" s="35" t="s">
        <v>711</v>
      </c>
      <c r="E400" s="34" t="s">
        <v>696</v>
      </c>
      <c r="F400" s="36" t="s">
        <v>1090</v>
      </c>
      <c r="G400" s="36" t="s">
        <v>1487</v>
      </c>
      <c r="H400" s="37">
        <v>1000</v>
      </c>
      <c r="I400" s="36" t="s">
        <v>707</v>
      </c>
      <c r="J400" s="34" t="s">
        <v>698</v>
      </c>
      <c r="K400" s="38"/>
      <c r="L400" s="36" t="s">
        <v>695</v>
      </c>
      <c r="M400" s="36" t="s">
        <v>695</v>
      </c>
      <c r="N400" s="38"/>
      <c r="O400" s="38"/>
      <c r="P400" s="1"/>
      <c r="Q400" s="40"/>
    </row>
    <row r="401" spans="2:17" ht="16.5" x14ac:dyDescent="0.3">
      <c r="B401" s="33">
        <v>397</v>
      </c>
      <c r="C401" s="34" t="s">
        <v>694</v>
      </c>
      <c r="D401" s="35" t="s">
        <v>711</v>
      </c>
      <c r="E401" s="34" t="s">
        <v>696</v>
      </c>
      <c r="F401" s="36" t="s">
        <v>1091</v>
      </c>
      <c r="G401" s="36" t="s">
        <v>1488</v>
      </c>
      <c r="H401" s="37">
        <v>6570</v>
      </c>
      <c r="I401" s="36" t="s">
        <v>707</v>
      </c>
      <c r="J401" s="34" t="s">
        <v>698</v>
      </c>
      <c r="K401" s="38"/>
      <c r="L401" s="36" t="s">
        <v>695</v>
      </c>
      <c r="M401" s="36" t="s">
        <v>695</v>
      </c>
      <c r="N401" s="38"/>
      <c r="O401" s="38"/>
      <c r="P401" s="1"/>
      <c r="Q401" s="40"/>
    </row>
    <row r="402" spans="2:17" ht="16.5" x14ac:dyDescent="0.3">
      <c r="B402" s="33">
        <v>398</v>
      </c>
      <c r="C402" s="34" t="s">
        <v>694</v>
      </c>
      <c r="D402" s="35" t="s">
        <v>711</v>
      </c>
      <c r="E402" s="34" t="s">
        <v>696</v>
      </c>
      <c r="F402" s="36" t="s">
        <v>1092</v>
      </c>
      <c r="G402" s="36" t="s">
        <v>1489</v>
      </c>
      <c r="H402" s="37">
        <v>3552</v>
      </c>
      <c r="I402" s="36" t="s">
        <v>707</v>
      </c>
      <c r="J402" s="34" t="s">
        <v>698</v>
      </c>
      <c r="K402" s="38"/>
      <c r="L402" s="36" t="s">
        <v>695</v>
      </c>
      <c r="M402" s="36" t="s">
        <v>695</v>
      </c>
      <c r="N402" s="38"/>
      <c r="O402" s="38"/>
      <c r="P402" s="1"/>
      <c r="Q402" s="40"/>
    </row>
    <row r="403" spans="2:17" ht="16.5" x14ac:dyDescent="0.3">
      <c r="B403" s="33">
        <v>399</v>
      </c>
      <c r="C403" s="34" t="s">
        <v>694</v>
      </c>
      <c r="D403" s="35" t="s">
        <v>711</v>
      </c>
      <c r="E403" s="34" t="s">
        <v>696</v>
      </c>
      <c r="F403" s="36" t="s">
        <v>1091</v>
      </c>
      <c r="G403" s="36" t="s">
        <v>1488</v>
      </c>
      <c r="H403" s="37">
        <v>6570</v>
      </c>
      <c r="I403" s="36" t="s">
        <v>707</v>
      </c>
      <c r="J403" s="34" t="s">
        <v>698</v>
      </c>
      <c r="K403" s="38"/>
      <c r="L403" s="36" t="s">
        <v>695</v>
      </c>
      <c r="M403" s="36" t="s">
        <v>695</v>
      </c>
      <c r="N403" s="38"/>
      <c r="O403" s="38"/>
      <c r="P403" s="1"/>
      <c r="Q403" s="40"/>
    </row>
    <row r="404" spans="2:17" ht="16.5" x14ac:dyDescent="0.3">
      <c r="B404" s="33">
        <v>400</v>
      </c>
      <c r="C404" s="34" t="s">
        <v>694</v>
      </c>
      <c r="D404" s="35" t="s">
        <v>711</v>
      </c>
      <c r="E404" s="34" t="s">
        <v>696</v>
      </c>
      <c r="F404" s="36" t="s">
        <v>1092</v>
      </c>
      <c r="G404" s="36" t="s">
        <v>1489</v>
      </c>
      <c r="H404" s="37">
        <v>3552</v>
      </c>
      <c r="I404" s="36" t="s">
        <v>707</v>
      </c>
      <c r="J404" s="34" t="s">
        <v>698</v>
      </c>
      <c r="K404" s="38"/>
      <c r="L404" s="36" t="s">
        <v>695</v>
      </c>
      <c r="M404" s="36" t="s">
        <v>695</v>
      </c>
      <c r="N404" s="38"/>
      <c r="O404" s="38"/>
      <c r="P404" s="1"/>
      <c r="Q404" s="40"/>
    </row>
    <row r="405" spans="2:17" ht="16.5" x14ac:dyDescent="0.3">
      <c r="B405" s="33">
        <v>401</v>
      </c>
      <c r="C405" s="34" t="s">
        <v>694</v>
      </c>
      <c r="D405" s="35" t="s">
        <v>711</v>
      </c>
      <c r="E405" s="34" t="s">
        <v>696</v>
      </c>
      <c r="F405" s="36" t="s">
        <v>1093</v>
      </c>
      <c r="G405" s="36" t="s">
        <v>1490</v>
      </c>
      <c r="H405" s="37">
        <v>1080</v>
      </c>
      <c r="I405" s="36" t="s">
        <v>709</v>
      </c>
      <c r="J405" s="34" t="s">
        <v>698</v>
      </c>
      <c r="K405" s="38"/>
      <c r="L405" s="36" t="s">
        <v>695</v>
      </c>
      <c r="M405" s="36" t="s">
        <v>695</v>
      </c>
      <c r="N405" s="38"/>
      <c r="O405" s="38"/>
      <c r="P405" s="1"/>
      <c r="Q405" s="40"/>
    </row>
    <row r="406" spans="2:17" ht="16.5" x14ac:dyDescent="0.3">
      <c r="B406" s="33">
        <v>402</v>
      </c>
      <c r="C406" s="34" t="s">
        <v>694</v>
      </c>
      <c r="D406" s="35" t="s">
        <v>711</v>
      </c>
      <c r="E406" s="34" t="s">
        <v>696</v>
      </c>
      <c r="F406" s="36" t="s">
        <v>1094</v>
      </c>
      <c r="G406" s="36" t="s">
        <v>1491</v>
      </c>
      <c r="H406" s="37">
        <v>1140</v>
      </c>
      <c r="I406" s="36" t="s">
        <v>708</v>
      </c>
      <c r="J406" s="34" t="s">
        <v>698</v>
      </c>
      <c r="K406" s="38"/>
      <c r="L406" s="36" t="s">
        <v>695</v>
      </c>
      <c r="M406" s="36" t="s">
        <v>695</v>
      </c>
      <c r="N406" s="38"/>
      <c r="O406" s="38"/>
      <c r="P406" s="1"/>
      <c r="Q406" s="40"/>
    </row>
    <row r="407" spans="2:17" ht="16.5" x14ac:dyDescent="0.3">
      <c r="B407" s="33">
        <v>403</v>
      </c>
      <c r="C407" s="34" t="s">
        <v>694</v>
      </c>
      <c r="D407" s="35" t="s">
        <v>711</v>
      </c>
      <c r="E407" s="34" t="s">
        <v>696</v>
      </c>
      <c r="F407" s="36" t="s">
        <v>1095</v>
      </c>
      <c r="G407" s="36" t="s">
        <v>1492</v>
      </c>
      <c r="H407" s="37">
        <v>2400</v>
      </c>
      <c r="I407" s="36" t="s">
        <v>709</v>
      </c>
      <c r="J407" s="34" t="s">
        <v>698</v>
      </c>
      <c r="K407" s="38"/>
      <c r="L407" s="36" t="s">
        <v>695</v>
      </c>
      <c r="M407" s="36" t="s">
        <v>695</v>
      </c>
      <c r="N407" s="38"/>
      <c r="O407" s="38"/>
      <c r="P407" s="1"/>
      <c r="Q407" s="40"/>
    </row>
    <row r="408" spans="2:17" ht="16.5" x14ac:dyDescent="0.3">
      <c r="B408" s="33">
        <v>404</v>
      </c>
      <c r="C408" s="34" t="s">
        <v>694</v>
      </c>
      <c r="D408" s="35" t="s">
        <v>711</v>
      </c>
      <c r="E408" s="34" t="s">
        <v>696</v>
      </c>
      <c r="F408" s="36" t="s">
        <v>1096</v>
      </c>
      <c r="G408" s="36" t="s">
        <v>1493</v>
      </c>
      <c r="H408" s="37">
        <v>12311</v>
      </c>
      <c r="I408" s="36" t="s">
        <v>708</v>
      </c>
      <c r="J408" s="34" t="s">
        <v>698</v>
      </c>
      <c r="K408" s="38"/>
      <c r="L408" s="36" t="s">
        <v>695</v>
      </c>
      <c r="M408" s="36" t="s">
        <v>695</v>
      </c>
      <c r="N408" s="38"/>
      <c r="O408" s="38"/>
      <c r="P408" s="1"/>
      <c r="Q408" s="40"/>
    </row>
    <row r="409" spans="2:17" ht="16.5" x14ac:dyDescent="0.3">
      <c r="B409" s="33">
        <v>405</v>
      </c>
      <c r="C409" s="34" t="s">
        <v>694</v>
      </c>
      <c r="D409" s="35" t="s">
        <v>711</v>
      </c>
      <c r="E409" s="34" t="s">
        <v>696</v>
      </c>
      <c r="F409" s="36" t="s">
        <v>1097</v>
      </c>
      <c r="G409" s="36" t="s">
        <v>1494</v>
      </c>
      <c r="H409" s="37">
        <v>2653</v>
      </c>
      <c r="I409" s="36" t="s">
        <v>708</v>
      </c>
      <c r="J409" s="34" t="s">
        <v>698</v>
      </c>
      <c r="K409" s="38"/>
      <c r="L409" s="36" t="s">
        <v>695</v>
      </c>
      <c r="M409" s="36" t="s">
        <v>695</v>
      </c>
      <c r="N409" s="38"/>
      <c r="O409" s="38"/>
      <c r="P409" s="1"/>
      <c r="Q409" s="40"/>
    </row>
    <row r="410" spans="2:17" ht="16.5" x14ac:dyDescent="0.3">
      <c r="B410" s="33">
        <v>406</v>
      </c>
      <c r="C410" s="34" t="s">
        <v>694</v>
      </c>
      <c r="D410" s="35" t="s">
        <v>711</v>
      </c>
      <c r="E410" s="34" t="s">
        <v>696</v>
      </c>
      <c r="F410" s="36" t="s">
        <v>1098</v>
      </c>
      <c r="G410" s="36" t="s">
        <v>1495</v>
      </c>
      <c r="H410" s="37">
        <v>3065</v>
      </c>
      <c r="I410" s="36" t="s">
        <v>708</v>
      </c>
      <c r="J410" s="34" t="s">
        <v>698</v>
      </c>
      <c r="K410" s="38"/>
      <c r="L410" s="36" t="s">
        <v>695</v>
      </c>
      <c r="M410" s="36" t="s">
        <v>695</v>
      </c>
      <c r="N410" s="38"/>
      <c r="O410" s="38"/>
      <c r="P410" s="1"/>
      <c r="Q410" s="40"/>
    </row>
    <row r="411" spans="2:17" ht="16.5" x14ac:dyDescent="0.3">
      <c r="B411" s="33">
        <v>407</v>
      </c>
      <c r="C411" s="34" t="s">
        <v>694</v>
      </c>
      <c r="D411" s="35" t="s">
        <v>711</v>
      </c>
      <c r="E411" s="34" t="s">
        <v>696</v>
      </c>
      <c r="F411" s="36" t="s">
        <v>1099</v>
      </c>
      <c r="G411" s="36" t="s">
        <v>1496</v>
      </c>
      <c r="H411" s="37">
        <v>2370</v>
      </c>
      <c r="I411" s="36" t="s">
        <v>709</v>
      </c>
      <c r="J411" s="34" t="s">
        <v>698</v>
      </c>
      <c r="K411" s="38"/>
      <c r="L411" s="36" t="s">
        <v>695</v>
      </c>
      <c r="M411" s="36" t="s">
        <v>695</v>
      </c>
      <c r="N411" s="38"/>
      <c r="O411" s="38"/>
      <c r="P411" s="1"/>
      <c r="Q411" s="40"/>
    </row>
    <row r="412" spans="2:17" ht="16.5" x14ac:dyDescent="0.3">
      <c r="B412" s="33">
        <v>408</v>
      </c>
      <c r="C412" s="34" t="s">
        <v>694</v>
      </c>
      <c r="D412" s="35" t="s">
        <v>711</v>
      </c>
      <c r="E412" s="34" t="s">
        <v>696</v>
      </c>
      <c r="F412" s="36" t="s">
        <v>1100</v>
      </c>
      <c r="G412" s="36" t="s">
        <v>1497</v>
      </c>
      <c r="H412" s="37">
        <v>1097</v>
      </c>
      <c r="I412" s="36" t="s">
        <v>708</v>
      </c>
      <c r="J412" s="34" t="s">
        <v>698</v>
      </c>
      <c r="K412" s="38"/>
      <c r="L412" s="36" t="s">
        <v>695</v>
      </c>
      <c r="M412" s="36" t="s">
        <v>695</v>
      </c>
      <c r="N412" s="38"/>
      <c r="O412" s="38"/>
      <c r="P412" s="1"/>
      <c r="Q412" s="40"/>
    </row>
    <row r="413" spans="2:17" ht="16.5" x14ac:dyDescent="0.3">
      <c r="B413" s="33">
        <v>409</v>
      </c>
      <c r="C413" s="34" t="s">
        <v>694</v>
      </c>
      <c r="D413" s="35" t="s">
        <v>711</v>
      </c>
      <c r="E413" s="34" t="s">
        <v>696</v>
      </c>
      <c r="F413" s="36" t="s">
        <v>1101</v>
      </c>
      <c r="G413" s="36" t="s">
        <v>1498</v>
      </c>
      <c r="H413" s="37">
        <v>1065</v>
      </c>
      <c r="I413" s="36" t="s">
        <v>708</v>
      </c>
      <c r="J413" s="34" t="s">
        <v>698</v>
      </c>
      <c r="K413" s="38"/>
      <c r="L413" s="36" t="s">
        <v>695</v>
      </c>
      <c r="M413" s="36" t="s">
        <v>695</v>
      </c>
      <c r="N413" s="38"/>
      <c r="O413" s="38"/>
      <c r="P413" s="1"/>
      <c r="Q413" s="40"/>
    </row>
    <row r="414" spans="2:17" ht="16.5" x14ac:dyDescent="0.3">
      <c r="B414" s="33">
        <v>410</v>
      </c>
      <c r="C414" s="34" t="s">
        <v>694</v>
      </c>
      <c r="D414" s="35" t="s">
        <v>711</v>
      </c>
      <c r="E414" s="34" t="s">
        <v>696</v>
      </c>
      <c r="F414" s="36" t="s">
        <v>1102</v>
      </c>
      <c r="G414" s="36" t="s">
        <v>1499</v>
      </c>
      <c r="H414" s="37">
        <v>5080</v>
      </c>
      <c r="I414" s="36" t="s">
        <v>708</v>
      </c>
      <c r="J414" s="34" t="s">
        <v>698</v>
      </c>
      <c r="K414" s="38"/>
      <c r="L414" s="36" t="s">
        <v>695</v>
      </c>
      <c r="M414" s="36" t="s">
        <v>695</v>
      </c>
      <c r="N414" s="38"/>
      <c r="O414" s="38"/>
      <c r="P414" s="1"/>
      <c r="Q414" s="40"/>
    </row>
    <row r="415" spans="2:17" ht="16.5" x14ac:dyDescent="0.3">
      <c r="B415" s="33">
        <v>411</v>
      </c>
      <c r="C415" s="34" t="s">
        <v>694</v>
      </c>
      <c r="D415" s="35" t="s">
        <v>711</v>
      </c>
      <c r="E415" s="34" t="s">
        <v>696</v>
      </c>
      <c r="F415" s="36" t="s">
        <v>1103</v>
      </c>
      <c r="G415" s="36" t="s">
        <v>1500</v>
      </c>
      <c r="H415" s="37">
        <v>11000</v>
      </c>
      <c r="I415" s="36" t="s">
        <v>708</v>
      </c>
      <c r="J415" s="34" t="s">
        <v>698</v>
      </c>
      <c r="K415" s="38"/>
      <c r="L415" s="36" t="s">
        <v>695</v>
      </c>
      <c r="M415" s="36" t="s">
        <v>695</v>
      </c>
      <c r="N415" s="38"/>
      <c r="O415" s="38"/>
      <c r="P415" s="1"/>
      <c r="Q415" s="40"/>
    </row>
    <row r="416" spans="2:17" ht="16.5" x14ac:dyDescent="0.3">
      <c r="B416" s="33">
        <v>412</v>
      </c>
      <c r="C416" s="34" t="s">
        <v>694</v>
      </c>
      <c r="D416" s="35" t="s">
        <v>711</v>
      </c>
      <c r="E416" s="34" t="s">
        <v>696</v>
      </c>
      <c r="F416" s="36" t="s">
        <v>1104</v>
      </c>
      <c r="G416" s="36" t="s">
        <v>1501</v>
      </c>
      <c r="H416" s="37">
        <v>10371</v>
      </c>
      <c r="I416" s="36" t="s">
        <v>708</v>
      </c>
      <c r="J416" s="34" t="s">
        <v>698</v>
      </c>
      <c r="K416" s="38"/>
      <c r="L416" s="36" t="s">
        <v>695</v>
      </c>
      <c r="M416" s="36" t="s">
        <v>695</v>
      </c>
      <c r="N416" s="38"/>
      <c r="O416" s="38"/>
      <c r="P416" s="1"/>
      <c r="Q416" s="40"/>
    </row>
    <row r="417" spans="2:17" ht="16.5" x14ac:dyDescent="0.3">
      <c r="B417" s="33">
        <v>413</v>
      </c>
      <c r="C417" s="34" t="s">
        <v>694</v>
      </c>
      <c r="D417" s="35" t="s">
        <v>711</v>
      </c>
      <c r="E417" s="34" t="s">
        <v>696</v>
      </c>
      <c r="F417" s="36" t="s">
        <v>1105</v>
      </c>
      <c r="G417" s="36" t="s">
        <v>1502</v>
      </c>
      <c r="H417" s="37">
        <v>10356</v>
      </c>
      <c r="I417" s="36" t="s">
        <v>708</v>
      </c>
      <c r="J417" s="34" t="s">
        <v>698</v>
      </c>
      <c r="K417" s="38"/>
      <c r="L417" s="36" t="s">
        <v>695</v>
      </c>
      <c r="M417" s="36" t="s">
        <v>695</v>
      </c>
      <c r="N417" s="38"/>
      <c r="O417" s="38"/>
      <c r="P417" s="1"/>
      <c r="Q417" s="40"/>
    </row>
    <row r="418" spans="2:17" ht="16.5" x14ac:dyDescent="0.3">
      <c r="B418" s="33">
        <v>414</v>
      </c>
      <c r="C418" s="34" t="s">
        <v>694</v>
      </c>
      <c r="D418" s="35" t="s">
        <v>711</v>
      </c>
      <c r="E418" s="34" t="s">
        <v>696</v>
      </c>
      <c r="F418" s="36" t="s">
        <v>1106</v>
      </c>
      <c r="G418" s="36" t="s">
        <v>1503</v>
      </c>
      <c r="H418" s="37">
        <v>5000</v>
      </c>
      <c r="I418" s="36" t="s">
        <v>710</v>
      </c>
      <c r="J418" s="34" t="s">
        <v>698</v>
      </c>
      <c r="K418" s="38"/>
      <c r="L418" s="36" t="s">
        <v>695</v>
      </c>
      <c r="M418" s="36" t="s">
        <v>695</v>
      </c>
      <c r="N418" s="38"/>
      <c r="O418" s="38"/>
      <c r="P418" s="1"/>
      <c r="Q418" s="40"/>
    </row>
    <row r="419" spans="2:17" ht="16.5" x14ac:dyDescent="0.3">
      <c r="B419" s="33">
        <v>415</v>
      </c>
      <c r="C419" s="34" t="s">
        <v>694</v>
      </c>
      <c r="D419" s="35" t="s">
        <v>711</v>
      </c>
      <c r="E419" s="34" t="s">
        <v>696</v>
      </c>
      <c r="F419" s="36" t="s">
        <v>1106</v>
      </c>
      <c r="G419" s="36" t="s">
        <v>1503</v>
      </c>
      <c r="H419" s="37">
        <v>5000</v>
      </c>
      <c r="I419" s="36" t="s">
        <v>710</v>
      </c>
      <c r="J419" s="34" t="s">
        <v>698</v>
      </c>
      <c r="K419" s="38"/>
      <c r="L419" s="36" t="s">
        <v>695</v>
      </c>
      <c r="M419" s="36" t="s">
        <v>695</v>
      </c>
      <c r="N419" s="38"/>
      <c r="O419" s="38"/>
      <c r="P419" s="1"/>
      <c r="Q419" s="40"/>
    </row>
    <row r="420" spans="2:17" ht="16.5" x14ac:dyDescent="0.3">
      <c r="B420" s="33">
        <v>416</v>
      </c>
      <c r="C420" s="34" t="s">
        <v>694</v>
      </c>
      <c r="D420" s="35" t="s">
        <v>711</v>
      </c>
      <c r="E420" s="34" t="s">
        <v>696</v>
      </c>
      <c r="F420" s="36" t="s">
        <v>1107</v>
      </c>
      <c r="G420" s="36" t="s">
        <v>1504</v>
      </c>
      <c r="H420" s="37">
        <v>16290</v>
      </c>
      <c r="I420" s="36" t="s">
        <v>710</v>
      </c>
      <c r="J420" s="34" t="s">
        <v>698</v>
      </c>
      <c r="K420" s="38"/>
      <c r="L420" s="36" t="s">
        <v>695</v>
      </c>
      <c r="M420" s="36" t="s">
        <v>695</v>
      </c>
      <c r="N420" s="38"/>
      <c r="O420" s="38"/>
      <c r="P420" s="1"/>
      <c r="Q420" s="40"/>
    </row>
    <row r="421" spans="2:17" ht="16.5" x14ac:dyDescent="0.3">
      <c r="B421" s="33">
        <v>417</v>
      </c>
      <c r="C421" s="34" t="s">
        <v>694</v>
      </c>
      <c r="D421" s="35" t="s">
        <v>711</v>
      </c>
      <c r="E421" s="34" t="s">
        <v>696</v>
      </c>
      <c r="F421" s="36" t="s">
        <v>1107</v>
      </c>
      <c r="G421" s="36" t="s">
        <v>1504</v>
      </c>
      <c r="H421" s="37">
        <v>16290</v>
      </c>
      <c r="I421" s="36" t="s">
        <v>710</v>
      </c>
      <c r="J421" s="34" t="s">
        <v>698</v>
      </c>
      <c r="K421" s="38"/>
      <c r="L421" s="36" t="s">
        <v>695</v>
      </c>
      <c r="M421" s="36" t="s">
        <v>695</v>
      </c>
      <c r="N421" s="38"/>
      <c r="O421" s="38"/>
      <c r="P421" s="1"/>
      <c r="Q421" s="40"/>
    </row>
    <row r="422" spans="2:17" ht="16.5" x14ac:dyDescent="0.3">
      <c r="B422" s="33">
        <v>418</v>
      </c>
      <c r="C422" s="34" t="s">
        <v>694</v>
      </c>
      <c r="D422" s="35" t="s">
        <v>711</v>
      </c>
      <c r="E422" s="34" t="s">
        <v>696</v>
      </c>
      <c r="F422" s="36" t="s">
        <v>1108</v>
      </c>
      <c r="G422" s="36" t="s">
        <v>1505</v>
      </c>
      <c r="H422" s="37">
        <v>1339</v>
      </c>
      <c r="I422" s="36" t="s">
        <v>708</v>
      </c>
      <c r="J422" s="34" t="s">
        <v>698</v>
      </c>
      <c r="K422" s="38"/>
      <c r="L422" s="36" t="s">
        <v>695</v>
      </c>
      <c r="M422" s="36" t="s">
        <v>695</v>
      </c>
      <c r="N422" s="38"/>
      <c r="O422" s="38"/>
      <c r="P422" s="1"/>
      <c r="Q422" s="40"/>
    </row>
    <row r="423" spans="2:17" ht="16.5" x14ac:dyDescent="0.3">
      <c r="B423" s="33">
        <v>419</v>
      </c>
      <c r="C423" s="34" t="s">
        <v>694</v>
      </c>
      <c r="D423" s="35" t="s">
        <v>711</v>
      </c>
      <c r="E423" s="34" t="s">
        <v>696</v>
      </c>
      <c r="F423" s="36" t="s">
        <v>1109</v>
      </c>
      <c r="G423" s="36" t="s">
        <v>1506</v>
      </c>
      <c r="H423" s="37">
        <v>2738</v>
      </c>
      <c r="I423" s="36" t="s">
        <v>708</v>
      </c>
      <c r="J423" s="34" t="s">
        <v>698</v>
      </c>
      <c r="K423" s="38"/>
      <c r="L423" s="36" t="s">
        <v>695</v>
      </c>
      <c r="M423" s="36" t="s">
        <v>695</v>
      </c>
      <c r="N423" s="38"/>
      <c r="O423" s="38"/>
      <c r="P423" s="1"/>
      <c r="Q423" s="40"/>
    </row>
    <row r="424" spans="2:17" ht="16.5" x14ac:dyDescent="0.3">
      <c r="B424" s="33">
        <v>420</v>
      </c>
      <c r="C424" s="34" t="s">
        <v>694</v>
      </c>
      <c r="D424" s="35" t="s">
        <v>711</v>
      </c>
      <c r="E424" s="34" t="s">
        <v>696</v>
      </c>
      <c r="F424" s="36" t="s">
        <v>1110</v>
      </c>
      <c r="G424" s="36" t="s">
        <v>1507</v>
      </c>
      <c r="H424" s="37">
        <v>2278</v>
      </c>
      <c r="I424" s="36" t="s">
        <v>708</v>
      </c>
      <c r="J424" s="34" t="s">
        <v>698</v>
      </c>
      <c r="K424" s="38"/>
      <c r="L424" s="36" t="s">
        <v>695</v>
      </c>
      <c r="M424" s="36" t="s">
        <v>695</v>
      </c>
      <c r="N424" s="38"/>
      <c r="O424" s="38"/>
      <c r="P424" s="1"/>
      <c r="Q424" s="40"/>
    </row>
    <row r="425" spans="2:17" ht="16.5" x14ac:dyDescent="0.3">
      <c r="B425" s="33">
        <v>421</v>
      </c>
      <c r="C425" s="34" t="s">
        <v>694</v>
      </c>
      <c r="D425" s="35" t="s">
        <v>711</v>
      </c>
      <c r="E425" s="34" t="s">
        <v>696</v>
      </c>
      <c r="F425" s="36" t="s">
        <v>1111</v>
      </c>
      <c r="G425" s="36" t="s">
        <v>1508</v>
      </c>
      <c r="H425" s="37">
        <v>1166</v>
      </c>
      <c r="I425" s="36" t="s">
        <v>707</v>
      </c>
      <c r="J425" s="34" t="s">
        <v>698</v>
      </c>
      <c r="K425" s="38"/>
      <c r="L425" s="36" t="s">
        <v>1116</v>
      </c>
      <c r="M425" s="36" t="s">
        <v>1116</v>
      </c>
      <c r="N425" s="38"/>
      <c r="O425" s="38"/>
      <c r="P425" s="18"/>
      <c r="Q425" s="40"/>
    </row>
    <row r="426" spans="2:17" ht="16.5" x14ac:dyDescent="0.3">
      <c r="B426" s="33">
        <v>422</v>
      </c>
      <c r="C426" s="34" t="s">
        <v>694</v>
      </c>
      <c r="D426" s="35" t="s">
        <v>711</v>
      </c>
      <c r="E426" s="34" t="s">
        <v>696</v>
      </c>
      <c r="F426" s="36" t="s">
        <v>1112</v>
      </c>
      <c r="G426" s="36" t="s">
        <v>1509</v>
      </c>
      <c r="H426" s="37">
        <v>70000</v>
      </c>
      <c r="I426" s="36" t="s">
        <v>697</v>
      </c>
      <c r="J426" s="34" t="s">
        <v>698</v>
      </c>
      <c r="K426" s="38"/>
      <c r="L426" s="36" t="s">
        <v>1117</v>
      </c>
      <c r="M426" s="36" t="s">
        <v>1117</v>
      </c>
      <c r="N426" s="38"/>
      <c r="O426" s="38"/>
      <c r="P426" s="18"/>
      <c r="Q426" s="40"/>
    </row>
    <row r="427" spans="2:17" ht="16.5" x14ac:dyDescent="0.3">
      <c r="B427" s="33">
        <v>423</v>
      </c>
      <c r="C427" s="34" t="s">
        <v>694</v>
      </c>
      <c r="D427" s="35" t="s">
        <v>711</v>
      </c>
      <c r="E427" s="34" t="s">
        <v>696</v>
      </c>
      <c r="F427" s="36" t="s">
        <v>1113</v>
      </c>
      <c r="G427" s="36" t="s">
        <v>1510</v>
      </c>
      <c r="H427" s="37">
        <v>3127</v>
      </c>
      <c r="I427" s="36" t="s">
        <v>697</v>
      </c>
      <c r="J427" s="34" t="s">
        <v>698</v>
      </c>
      <c r="K427" s="38"/>
      <c r="L427" s="36" t="s">
        <v>695</v>
      </c>
      <c r="M427" s="36" t="s">
        <v>695</v>
      </c>
      <c r="N427" s="38"/>
      <c r="O427" s="38"/>
      <c r="P427" s="18"/>
      <c r="Q427" s="40"/>
    </row>
    <row r="428" spans="2:17" ht="16.5" x14ac:dyDescent="0.3">
      <c r="B428" s="33">
        <v>424</v>
      </c>
      <c r="C428" s="34" t="s">
        <v>694</v>
      </c>
      <c r="D428" s="35" t="s">
        <v>711</v>
      </c>
      <c r="E428" s="34" t="s">
        <v>696</v>
      </c>
      <c r="F428" s="36" t="s">
        <v>1114</v>
      </c>
      <c r="G428" s="36" t="s">
        <v>1509</v>
      </c>
      <c r="H428" s="37">
        <v>70000</v>
      </c>
      <c r="I428" s="36" t="s">
        <v>697</v>
      </c>
      <c r="J428" s="34" t="s">
        <v>698</v>
      </c>
      <c r="K428" s="38"/>
      <c r="L428" s="36" t="s">
        <v>699</v>
      </c>
      <c r="M428" s="36" t="s">
        <v>699</v>
      </c>
      <c r="N428" s="38"/>
      <c r="O428" s="38"/>
      <c r="P428" s="18"/>
      <c r="Q428" s="40"/>
    </row>
    <row r="429" spans="2:17" ht="16.5" x14ac:dyDescent="0.3">
      <c r="B429" s="33">
        <v>425</v>
      </c>
      <c r="C429" s="34" t="s">
        <v>694</v>
      </c>
      <c r="D429" s="35" t="s">
        <v>711</v>
      </c>
      <c r="E429" s="34" t="s">
        <v>696</v>
      </c>
      <c r="F429" s="36" t="s">
        <v>1115</v>
      </c>
      <c r="G429" s="36" t="s">
        <v>1511</v>
      </c>
      <c r="H429" s="37">
        <v>1010</v>
      </c>
      <c r="I429" s="36" t="s">
        <v>697</v>
      </c>
      <c r="J429" s="34" t="s">
        <v>698</v>
      </c>
      <c r="K429" s="38"/>
      <c r="L429" s="36" t="s">
        <v>1118</v>
      </c>
      <c r="M429" s="36" t="s">
        <v>1118</v>
      </c>
      <c r="N429" s="38"/>
      <c r="O429" s="38"/>
      <c r="P429" s="18"/>
      <c r="Q429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425"/>
  <sheetViews>
    <sheetView topLeftCell="A403" workbookViewId="0">
      <selection activeCell="I413" sqref="I413"/>
    </sheetView>
  </sheetViews>
  <sheetFormatPr defaultRowHeight="15" customHeight="1" x14ac:dyDescent="0.25"/>
  <cols>
    <col min="4" max="4" width="21.140625" bestFit="1" customWidth="1"/>
  </cols>
  <sheetData>
    <row r="2" spans="3:5" ht="15" customHeight="1" x14ac:dyDescent="0.25">
      <c r="C2" s="44">
        <v>30102414</v>
      </c>
      <c r="D2" s="44" t="s">
        <v>1933</v>
      </c>
      <c r="E2" s="45">
        <v>2285</v>
      </c>
    </row>
    <row r="3" spans="3:5" ht="15" customHeight="1" x14ac:dyDescent="0.25">
      <c r="C3" s="42">
        <v>10214599</v>
      </c>
      <c r="D3" s="42" t="s">
        <v>1512</v>
      </c>
      <c r="E3" s="43">
        <v>8814</v>
      </c>
    </row>
    <row r="4" spans="3:5" ht="15" customHeight="1" x14ac:dyDescent="0.25">
      <c r="C4" s="44">
        <v>10215451</v>
      </c>
      <c r="D4" s="44" t="s">
        <v>1513</v>
      </c>
      <c r="E4" s="45">
        <v>5000</v>
      </c>
    </row>
    <row r="5" spans="3:5" ht="15" customHeight="1" x14ac:dyDescent="0.25">
      <c r="C5" s="42">
        <v>10215453</v>
      </c>
      <c r="D5" s="42" t="s">
        <v>1514</v>
      </c>
      <c r="E5" s="43">
        <v>5000</v>
      </c>
    </row>
    <row r="6" spans="3:5" ht="15" customHeight="1" x14ac:dyDescent="0.25">
      <c r="C6" s="44">
        <v>10219148</v>
      </c>
      <c r="D6" s="44" t="s">
        <v>1515</v>
      </c>
      <c r="E6" s="45">
        <v>2100</v>
      </c>
    </row>
    <row r="7" spans="3:5" ht="15" customHeight="1" x14ac:dyDescent="0.25">
      <c r="C7" s="42">
        <v>10219248</v>
      </c>
      <c r="D7" s="42" t="s">
        <v>1516</v>
      </c>
      <c r="E7" s="43">
        <v>2170</v>
      </c>
    </row>
    <row r="8" spans="3:5" ht="15" customHeight="1" x14ac:dyDescent="0.25">
      <c r="C8" s="44">
        <v>10221455</v>
      </c>
      <c r="D8" s="44" t="s">
        <v>1517</v>
      </c>
      <c r="E8" s="45">
        <v>2000</v>
      </c>
    </row>
    <row r="9" spans="3:5" ht="15" customHeight="1" x14ac:dyDescent="0.25">
      <c r="C9" s="42">
        <v>10223562</v>
      </c>
      <c r="D9" s="42" t="s">
        <v>1518</v>
      </c>
      <c r="E9" s="43">
        <v>1475</v>
      </c>
    </row>
    <row r="10" spans="3:5" ht="15" customHeight="1" x14ac:dyDescent="0.25">
      <c r="C10" s="44">
        <v>10226257</v>
      </c>
      <c r="D10" s="44" t="s">
        <v>1519</v>
      </c>
      <c r="E10" s="45">
        <v>6445</v>
      </c>
    </row>
    <row r="11" spans="3:5" ht="15" customHeight="1" x14ac:dyDescent="0.25">
      <c r="C11" s="42">
        <v>10227643</v>
      </c>
      <c r="D11" s="42" t="s">
        <v>1520</v>
      </c>
      <c r="E11" s="43">
        <v>2063</v>
      </c>
    </row>
    <row r="12" spans="3:5" ht="15" customHeight="1" x14ac:dyDescent="0.25">
      <c r="C12" s="44">
        <v>10238324</v>
      </c>
      <c r="D12" s="44" t="s">
        <v>1521</v>
      </c>
      <c r="E12" s="45">
        <v>15000</v>
      </c>
    </row>
    <row r="13" spans="3:5" ht="15" customHeight="1" x14ac:dyDescent="0.25">
      <c r="C13" s="42">
        <v>10033169</v>
      </c>
      <c r="D13" s="42" t="s">
        <v>1522</v>
      </c>
      <c r="E13" s="43">
        <v>1207</v>
      </c>
    </row>
    <row r="14" spans="3:5" ht="15" customHeight="1" x14ac:dyDescent="0.25">
      <c r="C14" s="44">
        <v>10239942</v>
      </c>
      <c r="D14" s="44" t="s">
        <v>1523</v>
      </c>
      <c r="E14" s="45">
        <v>2250</v>
      </c>
    </row>
    <row r="15" spans="3:5" ht="15" customHeight="1" x14ac:dyDescent="0.25">
      <c r="C15" s="42">
        <v>10242269</v>
      </c>
      <c r="D15" s="42" t="s">
        <v>1524</v>
      </c>
      <c r="E15" s="43">
        <v>2600</v>
      </c>
    </row>
    <row r="16" spans="3:5" ht="15" customHeight="1" x14ac:dyDescent="0.25">
      <c r="C16" s="44">
        <v>10248514</v>
      </c>
      <c r="D16" s="44" t="s">
        <v>1525</v>
      </c>
      <c r="E16" s="45">
        <v>3000</v>
      </c>
    </row>
    <row r="17" spans="3:5" ht="15" customHeight="1" x14ac:dyDescent="0.25">
      <c r="C17" s="42">
        <v>10248584</v>
      </c>
      <c r="D17" s="42" t="s">
        <v>1526</v>
      </c>
      <c r="E17" s="43">
        <v>2620</v>
      </c>
    </row>
    <row r="18" spans="3:5" ht="15" customHeight="1" x14ac:dyDescent="0.25">
      <c r="C18" s="44">
        <v>10248798</v>
      </c>
      <c r="D18" s="44" t="s">
        <v>1527</v>
      </c>
      <c r="E18" s="45">
        <v>2551</v>
      </c>
    </row>
    <row r="19" spans="3:5" ht="15" customHeight="1" x14ac:dyDescent="0.25">
      <c r="C19" s="42">
        <v>10248955</v>
      </c>
      <c r="D19" s="42" t="s">
        <v>1528</v>
      </c>
      <c r="E19" s="43">
        <v>3000</v>
      </c>
    </row>
    <row r="20" spans="3:5" ht="15" customHeight="1" x14ac:dyDescent="0.25">
      <c r="C20" s="44">
        <v>10249961</v>
      </c>
      <c r="D20" s="44" t="s">
        <v>1529</v>
      </c>
      <c r="E20" s="45">
        <v>3000</v>
      </c>
    </row>
    <row r="21" spans="3:5" ht="15" customHeight="1" x14ac:dyDescent="0.25">
      <c r="C21" s="42">
        <v>10250043</v>
      </c>
      <c r="D21" s="42" t="s">
        <v>1530</v>
      </c>
      <c r="E21" s="43">
        <v>3000</v>
      </c>
    </row>
    <row r="22" spans="3:5" ht="15" customHeight="1" x14ac:dyDescent="0.25">
      <c r="C22" s="44">
        <v>10252183</v>
      </c>
      <c r="D22" s="44" t="s">
        <v>1531</v>
      </c>
      <c r="E22" s="45">
        <v>3000</v>
      </c>
    </row>
    <row r="23" spans="3:5" ht="15" customHeight="1" x14ac:dyDescent="0.25">
      <c r="C23" s="42">
        <v>10252340</v>
      </c>
      <c r="D23" s="42" t="s">
        <v>1532</v>
      </c>
      <c r="E23" s="43">
        <v>7000</v>
      </c>
    </row>
    <row r="24" spans="3:5" ht="15" customHeight="1" x14ac:dyDescent="0.25">
      <c r="C24" s="44">
        <v>10036408</v>
      </c>
      <c r="D24" s="44" t="s">
        <v>1533</v>
      </c>
      <c r="E24" s="45">
        <v>3817</v>
      </c>
    </row>
    <row r="25" spans="3:5" ht="15" customHeight="1" x14ac:dyDescent="0.25">
      <c r="C25" s="42">
        <v>10252712</v>
      </c>
      <c r="D25" s="42" t="s">
        <v>1534</v>
      </c>
      <c r="E25" s="43">
        <v>60958</v>
      </c>
    </row>
    <row r="26" spans="3:5" ht="15" customHeight="1" x14ac:dyDescent="0.25">
      <c r="C26" s="44">
        <v>10253128</v>
      </c>
      <c r="D26" s="44" t="s">
        <v>1535</v>
      </c>
      <c r="E26" s="45">
        <v>3000</v>
      </c>
    </row>
    <row r="27" spans="3:5" ht="15" customHeight="1" x14ac:dyDescent="0.25">
      <c r="C27" s="42">
        <v>10253306</v>
      </c>
      <c r="D27" s="42" t="s">
        <v>1536</v>
      </c>
      <c r="E27" s="43">
        <v>3000</v>
      </c>
    </row>
    <row r="28" spans="3:5" ht="15" customHeight="1" x14ac:dyDescent="0.25">
      <c r="C28" s="44">
        <v>10253503</v>
      </c>
      <c r="D28" s="44" t="s">
        <v>1537</v>
      </c>
      <c r="E28" s="45">
        <v>3000</v>
      </c>
    </row>
    <row r="29" spans="3:5" ht="15" customHeight="1" x14ac:dyDescent="0.25">
      <c r="C29" s="42">
        <v>10253505</v>
      </c>
      <c r="D29" s="42" t="s">
        <v>1538</v>
      </c>
      <c r="E29" s="43">
        <v>3000</v>
      </c>
    </row>
    <row r="30" spans="3:5" ht="15" customHeight="1" x14ac:dyDescent="0.25">
      <c r="C30" s="44">
        <v>10253618</v>
      </c>
      <c r="D30" s="44" t="s">
        <v>1539</v>
      </c>
      <c r="E30" s="45">
        <v>3000</v>
      </c>
    </row>
    <row r="31" spans="3:5" ht="15" customHeight="1" x14ac:dyDescent="0.25">
      <c r="C31" s="42">
        <v>10254953</v>
      </c>
      <c r="D31" s="42" t="s">
        <v>1540</v>
      </c>
      <c r="E31" s="43">
        <v>3000</v>
      </c>
    </row>
    <row r="32" spans="3:5" ht="15" customHeight="1" x14ac:dyDescent="0.25">
      <c r="C32" s="44">
        <v>10255713</v>
      </c>
      <c r="D32" s="44" t="s">
        <v>1541</v>
      </c>
      <c r="E32" s="45">
        <v>3984</v>
      </c>
    </row>
    <row r="33" spans="3:5" ht="15" customHeight="1" x14ac:dyDescent="0.25">
      <c r="C33" s="42">
        <v>10255939</v>
      </c>
      <c r="D33" s="42" t="s">
        <v>1542</v>
      </c>
      <c r="E33" s="43">
        <v>3850</v>
      </c>
    </row>
    <row r="34" spans="3:5" ht="15" customHeight="1" x14ac:dyDescent="0.25">
      <c r="C34" s="44">
        <v>10255966</v>
      </c>
      <c r="D34" s="44" t="s">
        <v>1543</v>
      </c>
      <c r="E34" s="45">
        <v>5000</v>
      </c>
    </row>
    <row r="35" spans="3:5" ht="15" customHeight="1" x14ac:dyDescent="0.25">
      <c r="C35" s="42">
        <v>10038460</v>
      </c>
      <c r="D35" s="42" t="s">
        <v>1544</v>
      </c>
      <c r="E35" s="43">
        <v>1507</v>
      </c>
    </row>
    <row r="36" spans="3:5" ht="15" customHeight="1" x14ac:dyDescent="0.25">
      <c r="C36" s="44">
        <v>10255973</v>
      </c>
      <c r="D36" s="44" t="s">
        <v>1545</v>
      </c>
      <c r="E36" s="45">
        <v>6604</v>
      </c>
    </row>
    <row r="37" spans="3:5" ht="15" customHeight="1" x14ac:dyDescent="0.25">
      <c r="C37" s="42">
        <v>10256619</v>
      </c>
      <c r="D37" s="42" t="s">
        <v>1546</v>
      </c>
      <c r="E37" s="43">
        <v>4200</v>
      </c>
    </row>
    <row r="38" spans="3:5" ht="15" customHeight="1" x14ac:dyDescent="0.25">
      <c r="C38" s="44">
        <v>10257085</v>
      </c>
      <c r="D38" s="44" t="s">
        <v>1547</v>
      </c>
      <c r="E38" s="45">
        <v>10000</v>
      </c>
    </row>
    <row r="39" spans="3:5" ht="15" customHeight="1" x14ac:dyDescent="0.25">
      <c r="C39" s="42">
        <v>10257106</v>
      </c>
      <c r="D39" s="42" t="s">
        <v>1548</v>
      </c>
      <c r="E39" s="43">
        <v>3000</v>
      </c>
    </row>
    <row r="40" spans="3:5" ht="15" customHeight="1" x14ac:dyDescent="0.25">
      <c r="C40" s="44">
        <v>10257728</v>
      </c>
      <c r="D40" s="44" t="s">
        <v>1549</v>
      </c>
      <c r="E40" s="45">
        <v>5260</v>
      </c>
    </row>
    <row r="41" spans="3:5" ht="15" customHeight="1" x14ac:dyDescent="0.25">
      <c r="C41" s="42">
        <v>10258611</v>
      </c>
      <c r="D41" s="42" t="s">
        <v>1550</v>
      </c>
      <c r="E41" s="43">
        <v>3000</v>
      </c>
    </row>
    <row r="42" spans="3:5" ht="15" customHeight="1" x14ac:dyDescent="0.25">
      <c r="C42" s="44">
        <v>10258968</v>
      </c>
      <c r="D42" s="44" t="s">
        <v>1551</v>
      </c>
      <c r="E42" s="45">
        <v>10679</v>
      </c>
    </row>
    <row r="43" spans="3:5" ht="15" customHeight="1" x14ac:dyDescent="0.25">
      <c r="C43" s="42">
        <v>10260578</v>
      </c>
      <c r="D43" s="42" t="s">
        <v>1552</v>
      </c>
      <c r="E43" s="43">
        <v>3000</v>
      </c>
    </row>
    <row r="44" spans="3:5" ht="15" customHeight="1" x14ac:dyDescent="0.25">
      <c r="C44" s="44">
        <v>10260801</v>
      </c>
      <c r="D44" s="44" t="s">
        <v>1553</v>
      </c>
      <c r="E44" s="45">
        <v>3000</v>
      </c>
    </row>
    <row r="45" spans="3:5" ht="15" customHeight="1" x14ac:dyDescent="0.25">
      <c r="C45" s="42">
        <v>10261202</v>
      </c>
      <c r="D45" s="42" t="s">
        <v>1554</v>
      </c>
      <c r="E45" s="43">
        <v>3000</v>
      </c>
    </row>
    <row r="46" spans="3:5" ht="15" customHeight="1" x14ac:dyDescent="0.25">
      <c r="C46" s="44">
        <v>10042680</v>
      </c>
      <c r="D46" s="44" t="s">
        <v>1555</v>
      </c>
      <c r="E46" s="45">
        <v>1001</v>
      </c>
    </row>
    <row r="47" spans="3:5" ht="15" customHeight="1" x14ac:dyDescent="0.25">
      <c r="C47" s="42">
        <v>10261218</v>
      </c>
      <c r="D47" s="42" t="s">
        <v>1556</v>
      </c>
      <c r="E47" s="43">
        <v>3000</v>
      </c>
    </row>
    <row r="48" spans="3:5" ht="15" customHeight="1" x14ac:dyDescent="0.25">
      <c r="C48" s="44">
        <v>10262539</v>
      </c>
      <c r="D48" s="44" t="s">
        <v>1557</v>
      </c>
      <c r="E48" s="45">
        <v>2700</v>
      </c>
    </row>
    <row r="49" spans="3:5" ht="15" customHeight="1" x14ac:dyDescent="0.25">
      <c r="C49" s="42">
        <v>10262717</v>
      </c>
      <c r="D49" s="42" t="s">
        <v>1558</v>
      </c>
      <c r="E49" s="43">
        <v>2144</v>
      </c>
    </row>
    <row r="50" spans="3:5" ht="15" customHeight="1" x14ac:dyDescent="0.25">
      <c r="C50" s="44">
        <v>10267645</v>
      </c>
      <c r="D50" s="44" t="s">
        <v>1559</v>
      </c>
      <c r="E50" s="45">
        <v>3000</v>
      </c>
    </row>
    <row r="51" spans="3:5" ht="15" customHeight="1" x14ac:dyDescent="0.25">
      <c r="C51" s="42">
        <v>10267764</v>
      </c>
      <c r="D51" s="42" t="s">
        <v>1560</v>
      </c>
      <c r="E51" s="43">
        <v>3000</v>
      </c>
    </row>
    <row r="52" spans="3:5" ht="15" customHeight="1" x14ac:dyDescent="0.25">
      <c r="C52" s="44">
        <v>10267861</v>
      </c>
      <c r="D52" s="44" t="s">
        <v>1561</v>
      </c>
      <c r="E52" s="45">
        <v>3000</v>
      </c>
    </row>
    <row r="53" spans="3:5" ht="15" customHeight="1" x14ac:dyDescent="0.25">
      <c r="C53" s="42">
        <v>10268030</v>
      </c>
      <c r="D53" s="42" t="s">
        <v>1562</v>
      </c>
      <c r="E53" s="43">
        <v>3000</v>
      </c>
    </row>
    <row r="54" spans="3:5" ht="15" customHeight="1" x14ac:dyDescent="0.25">
      <c r="C54" s="44">
        <v>10268164</v>
      </c>
      <c r="D54" s="44" t="s">
        <v>1563</v>
      </c>
      <c r="E54" s="45">
        <v>64814</v>
      </c>
    </row>
    <row r="55" spans="3:5" ht="15" customHeight="1" x14ac:dyDescent="0.25">
      <c r="C55" s="42">
        <v>10268252</v>
      </c>
      <c r="D55" s="42" t="s">
        <v>1564</v>
      </c>
      <c r="E55" s="43">
        <v>3000</v>
      </c>
    </row>
    <row r="56" spans="3:5" ht="15" customHeight="1" x14ac:dyDescent="0.25">
      <c r="C56" s="44">
        <v>10268254</v>
      </c>
      <c r="D56" s="44" t="s">
        <v>1565</v>
      </c>
      <c r="E56" s="45">
        <v>3000</v>
      </c>
    </row>
    <row r="57" spans="3:5" ht="15" customHeight="1" x14ac:dyDescent="0.25">
      <c r="C57" s="42">
        <v>10049109</v>
      </c>
      <c r="D57" s="42" t="s">
        <v>1566</v>
      </c>
      <c r="E57" s="43">
        <v>1521</v>
      </c>
    </row>
    <row r="58" spans="3:5" ht="15" customHeight="1" x14ac:dyDescent="0.25">
      <c r="C58" s="44">
        <v>10268356</v>
      </c>
      <c r="D58" s="44" t="s">
        <v>1567</v>
      </c>
      <c r="E58" s="45">
        <v>3000</v>
      </c>
    </row>
    <row r="59" spans="3:5" ht="15" customHeight="1" x14ac:dyDescent="0.25">
      <c r="C59" s="42">
        <v>10269152</v>
      </c>
      <c r="D59" s="42" t="s">
        <v>1568</v>
      </c>
      <c r="E59" s="43">
        <v>3000</v>
      </c>
    </row>
    <row r="60" spans="3:5" ht="15" customHeight="1" x14ac:dyDescent="0.25">
      <c r="C60" s="44">
        <v>10269297</v>
      </c>
      <c r="D60" s="44" t="s">
        <v>1569</v>
      </c>
      <c r="E60" s="45">
        <v>3000</v>
      </c>
    </row>
    <row r="61" spans="3:5" ht="15" customHeight="1" x14ac:dyDescent="0.25">
      <c r="C61" s="42">
        <v>10269314</v>
      </c>
      <c r="D61" s="42" t="s">
        <v>1570</v>
      </c>
      <c r="E61" s="43">
        <v>3000</v>
      </c>
    </row>
    <row r="62" spans="3:5" ht="15" customHeight="1" x14ac:dyDescent="0.25">
      <c r="C62" s="44">
        <v>10270805</v>
      </c>
      <c r="D62" s="44" t="s">
        <v>1571</v>
      </c>
      <c r="E62" s="45">
        <v>10000</v>
      </c>
    </row>
    <row r="63" spans="3:5" ht="15" customHeight="1" x14ac:dyDescent="0.25">
      <c r="C63" s="42">
        <v>10271121</v>
      </c>
      <c r="D63" s="42" t="s">
        <v>1572</v>
      </c>
      <c r="E63" s="43">
        <v>3120</v>
      </c>
    </row>
    <row r="64" spans="3:5" ht="15" customHeight="1" x14ac:dyDescent="0.25">
      <c r="C64" s="44">
        <v>10272269</v>
      </c>
      <c r="D64" s="44" t="s">
        <v>1573</v>
      </c>
      <c r="E64" s="45">
        <v>12000</v>
      </c>
    </row>
    <row r="65" spans="3:5" ht="15" customHeight="1" x14ac:dyDescent="0.25">
      <c r="C65" s="42">
        <v>10272794</v>
      </c>
      <c r="D65" s="42" t="s">
        <v>1574</v>
      </c>
      <c r="E65" s="43">
        <v>3606</v>
      </c>
    </row>
    <row r="66" spans="3:5" ht="15" customHeight="1" x14ac:dyDescent="0.25">
      <c r="C66" s="44">
        <v>10272862</v>
      </c>
      <c r="D66" s="44" t="s">
        <v>1575</v>
      </c>
      <c r="E66" s="45">
        <v>3147</v>
      </c>
    </row>
    <row r="67" spans="3:5" ht="15" customHeight="1" x14ac:dyDescent="0.25">
      <c r="C67" s="42">
        <v>10273784</v>
      </c>
      <c r="D67" s="42" t="s">
        <v>1576</v>
      </c>
      <c r="E67" s="43">
        <v>3080</v>
      </c>
    </row>
    <row r="68" spans="3:5" ht="15" customHeight="1" x14ac:dyDescent="0.25">
      <c r="C68" s="44">
        <v>10050105</v>
      </c>
      <c r="D68" s="44" t="s">
        <v>1577</v>
      </c>
      <c r="E68" s="45">
        <v>5200</v>
      </c>
    </row>
    <row r="69" spans="3:5" ht="15" customHeight="1" x14ac:dyDescent="0.25">
      <c r="C69" s="42">
        <v>10274852</v>
      </c>
      <c r="D69" s="42" t="s">
        <v>1578</v>
      </c>
      <c r="E69" s="43">
        <v>5106</v>
      </c>
    </row>
    <row r="70" spans="3:5" ht="15" customHeight="1" x14ac:dyDescent="0.25">
      <c r="C70" s="44">
        <v>10277419</v>
      </c>
      <c r="D70" s="44" t="s">
        <v>1579</v>
      </c>
      <c r="E70" s="45">
        <v>3000</v>
      </c>
    </row>
    <row r="71" spans="3:5" ht="15" customHeight="1" x14ac:dyDescent="0.25">
      <c r="C71" s="42">
        <v>10278629</v>
      </c>
      <c r="D71" s="42" t="s">
        <v>1580</v>
      </c>
      <c r="E71" s="43">
        <v>5462</v>
      </c>
    </row>
    <row r="72" spans="3:5" ht="15" customHeight="1" x14ac:dyDescent="0.25">
      <c r="C72" s="44">
        <v>10280318</v>
      </c>
      <c r="D72" s="44" t="s">
        <v>1581</v>
      </c>
      <c r="E72" s="45">
        <v>2360</v>
      </c>
    </row>
    <row r="73" spans="3:5" ht="15" customHeight="1" x14ac:dyDescent="0.25">
      <c r="C73" s="42">
        <v>10281192</v>
      </c>
      <c r="D73" s="42" t="s">
        <v>1582</v>
      </c>
      <c r="E73" s="43">
        <v>3680</v>
      </c>
    </row>
    <row r="74" spans="3:5" ht="15" customHeight="1" x14ac:dyDescent="0.25">
      <c r="C74" s="44">
        <v>10284417</v>
      </c>
      <c r="D74" s="44" t="s">
        <v>1583</v>
      </c>
      <c r="E74" s="45">
        <v>3162</v>
      </c>
    </row>
    <row r="75" spans="3:5" ht="15" customHeight="1" x14ac:dyDescent="0.25">
      <c r="C75" s="42">
        <v>10290425</v>
      </c>
      <c r="D75" s="42" t="s">
        <v>1584</v>
      </c>
      <c r="E75" s="43">
        <v>5579</v>
      </c>
    </row>
    <row r="76" spans="3:5" ht="15" customHeight="1" x14ac:dyDescent="0.25">
      <c r="C76" s="44">
        <v>10290605</v>
      </c>
      <c r="D76" s="44" t="s">
        <v>1585</v>
      </c>
      <c r="E76" s="45">
        <v>2223</v>
      </c>
    </row>
    <row r="77" spans="3:5" ht="15" customHeight="1" x14ac:dyDescent="0.25">
      <c r="C77" s="42">
        <v>10296657</v>
      </c>
      <c r="D77" s="42" t="s">
        <v>1586</v>
      </c>
      <c r="E77" s="43">
        <v>3200</v>
      </c>
    </row>
    <row r="78" spans="3:5" ht="15" customHeight="1" x14ac:dyDescent="0.25">
      <c r="C78" s="44">
        <v>10303222</v>
      </c>
      <c r="D78" s="44" t="s">
        <v>1587</v>
      </c>
      <c r="E78" s="45">
        <v>4973</v>
      </c>
    </row>
    <row r="79" spans="3:5" ht="15" customHeight="1" x14ac:dyDescent="0.25">
      <c r="C79" s="42">
        <v>10051643</v>
      </c>
      <c r="D79" s="42" t="s">
        <v>1588</v>
      </c>
      <c r="E79" s="43">
        <v>2238</v>
      </c>
    </row>
    <row r="80" spans="3:5" ht="15" customHeight="1" x14ac:dyDescent="0.25">
      <c r="C80" s="44">
        <v>30055597</v>
      </c>
      <c r="D80" s="44" t="s">
        <v>1589</v>
      </c>
      <c r="E80" s="45">
        <v>1134</v>
      </c>
    </row>
    <row r="81" spans="3:5" ht="15" customHeight="1" x14ac:dyDescent="0.25">
      <c r="C81" s="42">
        <v>30113150</v>
      </c>
      <c r="D81" s="42" t="s">
        <v>1590</v>
      </c>
      <c r="E81" s="43">
        <v>1100</v>
      </c>
    </row>
    <row r="82" spans="3:5" ht="15" customHeight="1" x14ac:dyDescent="0.25">
      <c r="C82" s="44">
        <v>30118409</v>
      </c>
      <c r="D82" s="44" t="s">
        <v>1591</v>
      </c>
      <c r="E82" s="45">
        <v>1465</v>
      </c>
    </row>
    <row r="83" spans="3:5" ht="15" customHeight="1" x14ac:dyDescent="0.25">
      <c r="C83" s="42">
        <v>30119447</v>
      </c>
      <c r="D83" s="42" t="s">
        <v>1592</v>
      </c>
      <c r="E83" s="43">
        <v>2052</v>
      </c>
    </row>
    <row r="84" spans="3:5" ht="15" customHeight="1" x14ac:dyDescent="0.25">
      <c r="C84" s="44">
        <v>30124441</v>
      </c>
      <c r="D84" s="44" t="s">
        <v>1593</v>
      </c>
      <c r="E84" s="45">
        <v>1076</v>
      </c>
    </row>
    <row r="85" spans="3:5" ht="15" customHeight="1" x14ac:dyDescent="0.25">
      <c r="C85" s="42">
        <v>30126122</v>
      </c>
      <c r="D85" s="42" t="s">
        <v>1594</v>
      </c>
      <c r="E85" s="43">
        <v>1274</v>
      </c>
    </row>
    <row r="86" spans="3:5" ht="15" customHeight="1" x14ac:dyDescent="0.25">
      <c r="C86" s="44">
        <v>30127119</v>
      </c>
      <c r="D86" s="44" t="s">
        <v>1595</v>
      </c>
      <c r="E86" s="45">
        <v>1525</v>
      </c>
    </row>
    <row r="87" spans="3:5" ht="15" customHeight="1" x14ac:dyDescent="0.25">
      <c r="C87" s="42">
        <v>30130008</v>
      </c>
      <c r="D87" s="42" t="s">
        <v>1596</v>
      </c>
      <c r="E87" s="43">
        <v>1539</v>
      </c>
    </row>
    <row r="88" spans="3:5" ht="15" customHeight="1" x14ac:dyDescent="0.25">
      <c r="C88" s="44">
        <v>30130008</v>
      </c>
      <c r="D88" s="44" t="s">
        <v>1597</v>
      </c>
      <c r="E88" s="45">
        <v>1539</v>
      </c>
    </row>
    <row r="89" spans="3:5" ht="15" customHeight="1" x14ac:dyDescent="0.25">
      <c r="C89" s="42">
        <v>10056478</v>
      </c>
      <c r="D89" s="42" t="s">
        <v>1598</v>
      </c>
      <c r="E89" s="43">
        <v>2400</v>
      </c>
    </row>
    <row r="90" spans="3:5" ht="15" customHeight="1" x14ac:dyDescent="0.25">
      <c r="C90" s="44">
        <v>30133289</v>
      </c>
      <c r="D90" s="44" t="s">
        <v>1599</v>
      </c>
      <c r="E90" s="45">
        <v>1009</v>
      </c>
    </row>
    <row r="91" spans="3:5" ht="15" customHeight="1" x14ac:dyDescent="0.25">
      <c r="C91" s="42">
        <v>30134332</v>
      </c>
      <c r="D91" s="42" t="s">
        <v>1600</v>
      </c>
      <c r="E91" s="43">
        <v>8226</v>
      </c>
    </row>
    <row r="92" spans="3:5" ht="15" customHeight="1" x14ac:dyDescent="0.25">
      <c r="C92" s="44">
        <v>30134638</v>
      </c>
      <c r="D92" s="44" t="s">
        <v>1601</v>
      </c>
      <c r="E92" s="45">
        <v>6230</v>
      </c>
    </row>
    <row r="93" spans="3:5" ht="15" customHeight="1" x14ac:dyDescent="0.25">
      <c r="C93" s="42">
        <v>30138958</v>
      </c>
      <c r="D93" s="42" t="s">
        <v>1602</v>
      </c>
      <c r="E93" s="43">
        <v>34592</v>
      </c>
    </row>
    <row r="94" spans="3:5" ht="15" customHeight="1" x14ac:dyDescent="0.25">
      <c r="C94" s="44">
        <v>30141501</v>
      </c>
      <c r="D94" s="44" t="s">
        <v>1603</v>
      </c>
      <c r="E94" s="45">
        <v>1417</v>
      </c>
    </row>
    <row r="95" spans="3:5" ht="15" customHeight="1" x14ac:dyDescent="0.25">
      <c r="C95" s="42">
        <v>30142361</v>
      </c>
      <c r="D95" s="42" t="s">
        <v>1604</v>
      </c>
      <c r="E95" s="43">
        <v>2450</v>
      </c>
    </row>
    <row r="96" spans="3:5" ht="15" customHeight="1" x14ac:dyDescent="0.25">
      <c r="C96" s="44">
        <v>30146197</v>
      </c>
      <c r="D96" s="44" t="s">
        <v>1605</v>
      </c>
      <c r="E96" s="45">
        <v>1693</v>
      </c>
    </row>
    <row r="97" spans="3:5" ht="15" customHeight="1" x14ac:dyDescent="0.25">
      <c r="C97" s="42">
        <v>30146211</v>
      </c>
      <c r="D97" s="42" t="s">
        <v>1606</v>
      </c>
      <c r="E97" s="43">
        <v>1381</v>
      </c>
    </row>
    <row r="98" spans="3:5" ht="15" customHeight="1" x14ac:dyDescent="0.25">
      <c r="C98" s="44">
        <v>30146261</v>
      </c>
      <c r="D98" s="44" t="s">
        <v>1607</v>
      </c>
      <c r="E98" s="45">
        <v>1554</v>
      </c>
    </row>
    <row r="99" spans="3:5" ht="15" customHeight="1" x14ac:dyDescent="0.25">
      <c r="C99" s="42">
        <v>30146574</v>
      </c>
      <c r="D99" s="42" t="s">
        <v>1608</v>
      </c>
      <c r="E99" s="43">
        <v>5550</v>
      </c>
    </row>
    <row r="100" spans="3:5" ht="15" customHeight="1" x14ac:dyDescent="0.25">
      <c r="C100" s="44">
        <v>10059957</v>
      </c>
      <c r="D100" s="44" t="s">
        <v>1609</v>
      </c>
      <c r="E100" s="45">
        <v>1000</v>
      </c>
    </row>
    <row r="101" spans="3:5" ht="15" customHeight="1" x14ac:dyDescent="0.25">
      <c r="C101" s="42">
        <v>30147101</v>
      </c>
      <c r="D101" s="42" t="s">
        <v>1610</v>
      </c>
      <c r="E101" s="43">
        <v>116040</v>
      </c>
    </row>
    <row r="102" spans="3:5" ht="15" customHeight="1" x14ac:dyDescent="0.25">
      <c r="C102" s="44">
        <v>30147604</v>
      </c>
      <c r="D102" s="44" t="s">
        <v>1611</v>
      </c>
      <c r="E102" s="45">
        <v>36655</v>
      </c>
    </row>
    <row r="103" spans="3:5" ht="15" customHeight="1" x14ac:dyDescent="0.25">
      <c r="C103" s="42">
        <v>30147606</v>
      </c>
      <c r="D103" s="42" t="s">
        <v>1612</v>
      </c>
      <c r="E103" s="43">
        <v>32669</v>
      </c>
    </row>
    <row r="104" spans="3:5" ht="15" customHeight="1" x14ac:dyDescent="0.25">
      <c r="C104" s="44">
        <v>30147607</v>
      </c>
      <c r="D104" s="44" t="s">
        <v>1613</v>
      </c>
      <c r="E104" s="45">
        <v>4655</v>
      </c>
    </row>
    <row r="105" spans="3:5" ht="15" customHeight="1" x14ac:dyDescent="0.25">
      <c r="C105" s="42">
        <v>30147697</v>
      </c>
      <c r="D105" s="42" t="s">
        <v>1614</v>
      </c>
      <c r="E105" s="43">
        <v>18039</v>
      </c>
    </row>
    <row r="106" spans="3:5" ht="15" customHeight="1" x14ac:dyDescent="0.25">
      <c r="C106" s="44">
        <v>30149104</v>
      </c>
      <c r="D106" s="44" t="s">
        <v>1615</v>
      </c>
      <c r="E106" s="44">
        <v>645</v>
      </c>
    </row>
    <row r="107" spans="3:5" ht="15" customHeight="1" x14ac:dyDescent="0.25">
      <c r="C107" s="42">
        <v>30150929</v>
      </c>
      <c r="D107" s="42" t="s">
        <v>1616</v>
      </c>
      <c r="E107" s="43">
        <v>1097</v>
      </c>
    </row>
    <row r="108" spans="3:5" ht="15" customHeight="1" x14ac:dyDescent="0.25">
      <c r="C108" s="44">
        <v>30152734</v>
      </c>
      <c r="D108" s="44" t="s">
        <v>1617</v>
      </c>
      <c r="E108" s="45">
        <v>3165</v>
      </c>
    </row>
    <row r="109" spans="3:5" ht="15" customHeight="1" x14ac:dyDescent="0.25">
      <c r="C109" s="42">
        <v>30152830</v>
      </c>
      <c r="D109" s="42" t="s">
        <v>1618</v>
      </c>
      <c r="E109" s="43">
        <v>14707</v>
      </c>
    </row>
    <row r="110" spans="3:5" ht="15" customHeight="1" x14ac:dyDescent="0.25">
      <c r="C110" s="44">
        <v>30155305</v>
      </c>
      <c r="D110" s="44" t="s">
        <v>1619</v>
      </c>
      <c r="E110" s="45">
        <v>1216</v>
      </c>
    </row>
    <row r="111" spans="3:5" ht="15" customHeight="1" x14ac:dyDescent="0.25">
      <c r="C111" s="42">
        <v>10003794</v>
      </c>
      <c r="D111" s="42" t="s">
        <v>1620</v>
      </c>
      <c r="E111" s="43">
        <v>1758</v>
      </c>
    </row>
    <row r="112" spans="3:5" ht="15" customHeight="1" x14ac:dyDescent="0.25">
      <c r="C112" s="44">
        <v>10060201</v>
      </c>
      <c r="D112" s="44" t="s">
        <v>1621</v>
      </c>
      <c r="E112" s="45">
        <v>1340</v>
      </c>
    </row>
    <row r="113" spans="3:5" ht="15" customHeight="1" x14ac:dyDescent="0.25">
      <c r="C113" s="42">
        <v>30155835</v>
      </c>
      <c r="D113" s="42" t="s">
        <v>1622</v>
      </c>
      <c r="E113" s="43">
        <v>1157</v>
      </c>
    </row>
    <row r="114" spans="3:5" ht="15" customHeight="1" x14ac:dyDescent="0.25">
      <c r="C114" s="44">
        <v>30160409</v>
      </c>
      <c r="D114" s="44" t="s">
        <v>1623</v>
      </c>
      <c r="E114" s="45">
        <v>28618</v>
      </c>
    </row>
    <row r="115" spans="3:5" ht="15" customHeight="1" x14ac:dyDescent="0.25">
      <c r="C115" s="42">
        <v>30161203</v>
      </c>
      <c r="D115" s="42" t="s">
        <v>1624</v>
      </c>
      <c r="E115" s="43">
        <v>3119</v>
      </c>
    </row>
    <row r="116" spans="3:5" ht="15" customHeight="1" x14ac:dyDescent="0.25">
      <c r="C116" s="44">
        <v>30161539</v>
      </c>
      <c r="D116" s="44" t="s">
        <v>1625</v>
      </c>
      <c r="E116" s="45">
        <v>1692</v>
      </c>
    </row>
    <row r="117" spans="3:5" ht="15" customHeight="1" x14ac:dyDescent="0.25">
      <c r="C117" s="42">
        <v>30168888</v>
      </c>
      <c r="D117" s="42" t="s">
        <v>1626</v>
      </c>
      <c r="E117" s="43">
        <v>1140</v>
      </c>
    </row>
    <row r="118" spans="3:5" ht="15" customHeight="1" x14ac:dyDescent="0.25">
      <c r="C118" s="44">
        <v>30169243</v>
      </c>
      <c r="D118" s="44" t="s">
        <v>1627</v>
      </c>
      <c r="E118" s="45">
        <v>5101</v>
      </c>
    </row>
    <row r="119" spans="3:5" ht="15" customHeight="1" x14ac:dyDescent="0.25">
      <c r="C119" s="42">
        <v>30169243</v>
      </c>
      <c r="D119" s="42" t="s">
        <v>1628</v>
      </c>
      <c r="E119" s="43">
        <v>5101</v>
      </c>
    </row>
    <row r="120" spans="3:5" ht="15" customHeight="1" x14ac:dyDescent="0.25">
      <c r="C120" s="44">
        <v>30169245</v>
      </c>
      <c r="D120" s="44" t="s">
        <v>1629</v>
      </c>
      <c r="E120" s="45">
        <v>2549</v>
      </c>
    </row>
    <row r="121" spans="3:5" ht="15" customHeight="1" x14ac:dyDescent="0.25">
      <c r="C121" s="42">
        <v>30170401</v>
      </c>
      <c r="D121" s="42" t="s">
        <v>1630</v>
      </c>
      <c r="E121" s="43">
        <v>5418</v>
      </c>
    </row>
    <row r="122" spans="3:5" ht="15" customHeight="1" x14ac:dyDescent="0.25">
      <c r="C122" s="44">
        <v>30170402</v>
      </c>
      <c r="D122" s="44" t="s">
        <v>1631</v>
      </c>
      <c r="E122" s="45">
        <v>1016</v>
      </c>
    </row>
    <row r="123" spans="3:5" ht="15" customHeight="1" x14ac:dyDescent="0.25">
      <c r="C123" s="42">
        <v>10062144</v>
      </c>
      <c r="D123" s="42" t="s">
        <v>1632</v>
      </c>
      <c r="E123" s="43">
        <v>4500</v>
      </c>
    </row>
    <row r="124" spans="3:5" ht="15" customHeight="1" x14ac:dyDescent="0.25">
      <c r="C124" s="44">
        <v>30172922</v>
      </c>
      <c r="D124" s="44" t="s">
        <v>1633</v>
      </c>
      <c r="E124" s="45">
        <v>45608</v>
      </c>
    </row>
    <row r="125" spans="3:5" ht="15" customHeight="1" x14ac:dyDescent="0.25">
      <c r="C125" s="42">
        <v>30173256</v>
      </c>
      <c r="D125" s="42" t="s">
        <v>1634</v>
      </c>
      <c r="E125" s="42">
        <v>595</v>
      </c>
    </row>
    <row r="126" spans="3:5" ht="15" customHeight="1" x14ac:dyDescent="0.25">
      <c r="C126" s="44">
        <v>30174070</v>
      </c>
      <c r="D126" s="44" t="s">
        <v>1635</v>
      </c>
      <c r="E126" s="44">
        <v>564</v>
      </c>
    </row>
    <row r="127" spans="3:5" ht="15" customHeight="1" x14ac:dyDescent="0.25">
      <c r="C127" s="42">
        <v>30174070</v>
      </c>
      <c r="D127" s="42" t="s">
        <v>1636</v>
      </c>
      <c r="E127" s="42">
        <v>564</v>
      </c>
    </row>
    <row r="128" spans="3:5" ht="15" customHeight="1" x14ac:dyDescent="0.25">
      <c r="C128" s="44">
        <v>30174975</v>
      </c>
      <c r="D128" s="44" t="s">
        <v>1637</v>
      </c>
      <c r="E128" s="45">
        <v>1214</v>
      </c>
    </row>
    <row r="129" spans="3:5" ht="15" customHeight="1" x14ac:dyDescent="0.25">
      <c r="C129" s="42">
        <v>30177709</v>
      </c>
      <c r="D129" s="42" t="s">
        <v>1638</v>
      </c>
      <c r="E129" s="43">
        <v>4335</v>
      </c>
    </row>
    <row r="130" spans="3:5" ht="15" customHeight="1" x14ac:dyDescent="0.25">
      <c r="C130" s="44">
        <v>30180631</v>
      </c>
      <c r="D130" s="44" t="s">
        <v>1639</v>
      </c>
      <c r="E130" s="45">
        <v>16840</v>
      </c>
    </row>
    <row r="131" spans="3:5" ht="15" customHeight="1" x14ac:dyDescent="0.25">
      <c r="C131" s="42">
        <v>30184149</v>
      </c>
      <c r="D131" s="42" t="s">
        <v>1640</v>
      </c>
      <c r="E131" s="43">
        <v>2000</v>
      </c>
    </row>
    <row r="132" spans="3:5" ht="15" customHeight="1" x14ac:dyDescent="0.25">
      <c r="C132" s="44">
        <v>30191503</v>
      </c>
      <c r="D132" s="44" t="s">
        <v>1641</v>
      </c>
      <c r="E132" s="45">
        <v>6067</v>
      </c>
    </row>
    <row r="133" spans="3:5" ht="15" customHeight="1" x14ac:dyDescent="0.25">
      <c r="C133" s="42">
        <v>30194605</v>
      </c>
      <c r="D133" s="42" t="s">
        <v>1642</v>
      </c>
      <c r="E133" s="42">
        <v>150</v>
      </c>
    </row>
    <row r="134" spans="3:5" ht="15" customHeight="1" x14ac:dyDescent="0.25">
      <c r="C134" s="44">
        <v>10062704</v>
      </c>
      <c r="D134" s="44" t="s">
        <v>1643</v>
      </c>
      <c r="E134" s="45">
        <v>2120</v>
      </c>
    </row>
    <row r="135" spans="3:5" ht="15" customHeight="1" x14ac:dyDescent="0.25">
      <c r="C135" s="42">
        <v>30194935</v>
      </c>
      <c r="D135" s="42" t="s">
        <v>1644</v>
      </c>
      <c r="E135" s="43">
        <v>1393</v>
      </c>
    </row>
    <row r="136" spans="3:5" ht="15" customHeight="1" x14ac:dyDescent="0.25">
      <c r="C136" s="44">
        <v>30195063</v>
      </c>
      <c r="D136" s="44" t="s">
        <v>1645</v>
      </c>
      <c r="E136" s="45">
        <v>2000</v>
      </c>
    </row>
    <row r="137" spans="3:5" ht="15" customHeight="1" x14ac:dyDescent="0.25">
      <c r="C137" s="42">
        <v>30195471</v>
      </c>
      <c r="D137" s="42" t="s">
        <v>1646</v>
      </c>
      <c r="E137" s="43">
        <v>2189</v>
      </c>
    </row>
    <row r="138" spans="3:5" ht="15" customHeight="1" x14ac:dyDescent="0.25">
      <c r="C138" s="44">
        <v>30199551</v>
      </c>
      <c r="D138" s="44" t="s">
        <v>1647</v>
      </c>
      <c r="E138" s="45">
        <v>3175</v>
      </c>
    </row>
    <row r="139" spans="3:5" ht="15" customHeight="1" x14ac:dyDescent="0.25">
      <c r="C139" s="42">
        <v>30200350</v>
      </c>
      <c r="D139" s="42" t="s">
        <v>1648</v>
      </c>
      <c r="E139" s="43">
        <v>3289</v>
      </c>
    </row>
    <row r="140" spans="3:5" ht="15" customHeight="1" x14ac:dyDescent="0.25">
      <c r="C140" s="44">
        <v>30200374</v>
      </c>
      <c r="D140" s="44" t="s">
        <v>1649</v>
      </c>
      <c r="E140" s="45">
        <v>6050</v>
      </c>
    </row>
    <row r="141" spans="3:5" ht="15" customHeight="1" x14ac:dyDescent="0.25">
      <c r="C141" s="42">
        <v>30200413</v>
      </c>
      <c r="D141" s="42" t="s">
        <v>1650</v>
      </c>
      <c r="E141" s="43">
        <v>2000</v>
      </c>
    </row>
    <row r="142" spans="3:5" ht="15" customHeight="1" x14ac:dyDescent="0.25">
      <c r="C142" s="44">
        <v>30203421</v>
      </c>
      <c r="D142" s="44" t="s">
        <v>1651</v>
      </c>
      <c r="E142" s="45">
        <v>2042</v>
      </c>
    </row>
    <row r="143" spans="3:5" ht="15" customHeight="1" x14ac:dyDescent="0.25">
      <c r="C143" s="42">
        <v>30205832</v>
      </c>
      <c r="D143" s="42" t="s">
        <v>1652</v>
      </c>
      <c r="E143" s="43">
        <v>2000</v>
      </c>
    </row>
    <row r="144" spans="3:5" ht="15" customHeight="1" x14ac:dyDescent="0.25">
      <c r="C144" s="44">
        <v>30207701</v>
      </c>
      <c r="D144" s="44" t="s">
        <v>1653</v>
      </c>
      <c r="E144" s="45">
        <v>2152</v>
      </c>
    </row>
    <row r="145" spans="3:5" ht="15" customHeight="1" x14ac:dyDescent="0.25">
      <c r="C145" s="42">
        <v>10064992</v>
      </c>
      <c r="D145" s="42" t="s">
        <v>1654</v>
      </c>
      <c r="E145" s="43">
        <v>1125</v>
      </c>
    </row>
    <row r="146" spans="3:5" ht="15" customHeight="1" x14ac:dyDescent="0.25">
      <c r="C146" s="44">
        <v>30207998</v>
      </c>
      <c r="D146" s="44" t="s">
        <v>1655</v>
      </c>
      <c r="E146" s="45">
        <v>2500</v>
      </c>
    </row>
    <row r="147" spans="3:5" ht="15" customHeight="1" x14ac:dyDescent="0.25">
      <c r="C147" s="42">
        <v>30208664</v>
      </c>
      <c r="D147" s="42" t="s">
        <v>1656</v>
      </c>
      <c r="E147" s="43">
        <v>2000</v>
      </c>
    </row>
    <row r="148" spans="3:5" ht="15" customHeight="1" x14ac:dyDescent="0.25">
      <c r="C148" s="44">
        <v>30208817</v>
      </c>
      <c r="D148" s="44" t="s">
        <v>1657</v>
      </c>
      <c r="E148" s="45">
        <v>3557</v>
      </c>
    </row>
    <row r="149" spans="3:5" ht="15" customHeight="1" x14ac:dyDescent="0.25">
      <c r="C149" s="42">
        <v>30208869</v>
      </c>
      <c r="D149" s="42" t="s">
        <v>1658</v>
      </c>
      <c r="E149" s="43">
        <v>10856</v>
      </c>
    </row>
    <row r="150" spans="3:5" ht="15" customHeight="1" x14ac:dyDescent="0.25">
      <c r="C150" s="44">
        <v>30209521</v>
      </c>
      <c r="D150" s="44" t="s">
        <v>1659</v>
      </c>
      <c r="E150" s="45">
        <v>12421</v>
      </c>
    </row>
    <row r="151" spans="3:5" ht="15" customHeight="1" x14ac:dyDescent="0.25">
      <c r="C151" s="42">
        <v>30212358</v>
      </c>
      <c r="D151" s="42" t="s">
        <v>1660</v>
      </c>
      <c r="E151" s="43">
        <v>6592</v>
      </c>
    </row>
    <row r="152" spans="3:5" ht="15" customHeight="1" x14ac:dyDescent="0.25">
      <c r="C152" s="44">
        <v>30212381</v>
      </c>
      <c r="D152" s="44" t="s">
        <v>1661</v>
      </c>
      <c r="E152" s="45">
        <v>13297</v>
      </c>
    </row>
    <row r="153" spans="3:5" ht="15" customHeight="1" x14ac:dyDescent="0.25">
      <c r="C153" s="42">
        <v>30213896</v>
      </c>
      <c r="D153" s="42" t="s">
        <v>1662</v>
      </c>
      <c r="E153" s="43">
        <v>2510</v>
      </c>
    </row>
    <row r="154" spans="3:5" ht="15" customHeight="1" x14ac:dyDescent="0.25">
      <c r="C154" s="44">
        <v>30213981</v>
      </c>
      <c r="D154" s="44" t="s">
        <v>1663</v>
      </c>
      <c r="E154" s="45">
        <v>2176</v>
      </c>
    </row>
    <row r="155" spans="3:5" ht="15" customHeight="1" x14ac:dyDescent="0.25">
      <c r="C155" s="42">
        <v>30218297</v>
      </c>
      <c r="D155" s="42" t="s">
        <v>1664</v>
      </c>
      <c r="E155" s="43">
        <v>15157</v>
      </c>
    </row>
    <row r="156" spans="3:5" ht="15" customHeight="1" x14ac:dyDescent="0.25">
      <c r="C156" s="44">
        <v>10068251</v>
      </c>
      <c r="D156" s="44" t="s">
        <v>1665</v>
      </c>
      <c r="E156" s="45">
        <v>1238</v>
      </c>
    </row>
    <row r="157" spans="3:5" ht="15" customHeight="1" x14ac:dyDescent="0.25">
      <c r="C157" s="42">
        <v>30222834</v>
      </c>
      <c r="D157" s="42" t="s">
        <v>1666</v>
      </c>
      <c r="E157" s="43">
        <v>1470</v>
      </c>
    </row>
    <row r="158" spans="3:5" ht="15" customHeight="1" x14ac:dyDescent="0.25">
      <c r="C158" s="44">
        <v>30223968</v>
      </c>
      <c r="D158" s="44" t="s">
        <v>1667</v>
      </c>
      <c r="E158" s="45">
        <v>2000</v>
      </c>
    </row>
    <row r="159" spans="3:5" ht="15" customHeight="1" x14ac:dyDescent="0.25">
      <c r="C159" s="42">
        <v>30230989</v>
      </c>
      <c r="D159" s="42" t="s">
        <v>1668</v>
      </c>
      <c r="E159" s="43">
        <v>2000</v>
      </c>
    </row>
    <row r="160" spans="3:5" ht="15" customHeight="1" x14ac:dyDescent="0.25">
      <c r="C160" s="44">
        <v>30231051</v>
      </c>
      <c r="D160" s="44" t="s">
        <v>1669</v>
      </c>
      <c r="E160" s="45">
        <v>2750</v>
      </c>
    </row>
    <row r="161" spans="3:5" ht="15" customHeight="1" x14ac:dyDescent="0.25">
      <c r="C161" s="42">
        <v>30232379</v>
      </c>
      <c r="D161" s="42" t="s">
        <v>1670</v>
      </c>
      <c r="E161" s="43">
        <v>54000</v>
      </c>
    </row>
    <row r="162" spans="3:5" ht="15" customHeight="1" x14ac:dyDescent="0.25">
      <c r="C162" s="44">
        <v>30232441</v>
      </c>
      <c r="D162" s="44" t="s">
        <v>1671</v>
      </c>
      <c r="E162" s="45">
        <v>54000</v>
      </c>
    </row>
    <row r="163" spans="3:5" ht="15" customHeight="1" x14ac:dyDescent="0.25">
      <c r="C163" s="42">
        <v>30232502</v>
      </c>
      <c r="D163" s="42" t="s">
        <v>1672</v>
      </c>
      <c r="E163" s="43">
        <v>13194</v>
      </c>
    </row>
    <row r="164" spans="3:5" ht="15" customHeight="1" x14ac:dyDescent="0.25">
      <c r="C164" s="44">
        <v>30232508</v>
      </c>
      <c r="D164" s="44" t="s">
        <v>1673</v>
      </c>
      <c r="E164" s="45">
        <v>1100</v>
      </c>
    </row>
    <row r="165" spans="3:5" ht="15" customHeight="1" x14ac:dyDescent="0.25">
      <c r="C165" s="42">
        <v>30234349</v>
      </c>
      <c r="D165" s="42" t="s">
        <v>1674</v>
      </c>
      <c r="E165" s="43">
        <v>2000</v>
      </c>
    </row>
    <row r="166" spans="3:5" ht="15" customHeight="1" x14ac:dyDescent="0.25">
      <c r="C166" s="44">
        <v>30234446</v>
      </c>
      <c r="D166" s="44" t="s">
        <v>1675</v>
      </c>
      <c r="E166" s="45">
        <v>15000</v>
      </c>
    </row>
    <row r="167" spans="3:5" ht="15" customHeight="1" x14ac:dyDescent="0.25">
      <c r="C167" s="42">
        <v>10068449</v>
      </c>
      <c r="D167" s="42" t="s">
        <v>1676</v>
      </c>
      <c r="E167" s="43">
        <v>7514</v>
      </c>
    </row>
    <row r="168" spans="3:5" ht="15" customHeight="1" x14ac:dyDescent="0.25">
      <c r="C168" s="44">
        <v>30235720</v>
      </c>
      <c r="D168" s="44" t="s">
        <v>1677</v>
      </c>
      <c r="E168" s="45">
        <v>3000</v>
      </c>
    </row>
    <row r="169" spans="3:5" ht="15" customHeight="1" x14ac:dyDescent="0.25">
      <c r="C169" s="42">
        <v>30237907</v>
      </c>
      <c r="D169" s="42" t="s">
        <v>1678</v>
      </c>
      <c r="E169" s="43">
        <v>2207</v>
      </c>
    </row>
    <row r="170" spans="3:5" ht="15" customHeight="1" x14ac:dyDescent="0.25">
      <c r="C170" s="44">
        <v>30238384</v>
      </c>
      <c r="D170" s="44" t="s">
        <v>1679</v>
      </c>
      <c r="E170" s="45">
        <v>2646</v>
      </c>
    </row>
    <row r="171" spans="3:5" ht="15" customHeight="1" x14ac:dyDescent="0.25">
      <c r="C171" s="42">
        <v>30238589</v>
      </c>
      <c r="D171" s="42" t="s">
        <v>1680</v>
      </c>
      <c r="E171" s="43">
        <v>21400</v>
      </c>
    </row>
    <row r="172" spans="3:5" ht="15" customHeight="1" x14ac:dyDescent="0.25">
      <c r="C172" s="44">
        <v>30238597</v>
      </c>
      <c r="D172" s="44" t="s">
        <v>1681</v>
      </c>
      <c r="E172" s="45">
        <v>5768</v>
      </c>
    </row>
    <row r="173" spans="3:5" ht="15" customHeight="1" x14ac:dyDescent="0.25">
      <c r="C173" s="42">
        <v>30238617</v>
      </c>
      <c r="D173" s="42" t="s">
        <v>1682</v>
      </c>
      <c r="E173" s="43">
        <v>5000</v>
      </c>
    </row>
    <row r="174" spans="3:5" ht="15" customHeight="1" x14ac:dyDescent="0.25">
      <c r="C174" s="44">
        <v>30238736</v>
      </c>
      <c r="D174" s="44" t="s">
        <v>1683</v>
      </c>
      <c r="E174" s="45">
        <v>3195</v>
      </c>
    </row>
    <row r="175" spans="3:5" ht="15" customHeight="1" x14ac:dyDescent="0.25">
      <c r="C175" s="42">
        <v>30239317</v>
      </c>
      <c r="D175" s="42" t="s">
        <v>1684</v>
      </c>
      <c r="E175" s="43">
        <v>2676</v>
      </c>
    </row>
    <row r="176" spans="3:5" ht="15" customHeight="1" x14ac:dyDescent="0.25">
      <c r="C176" s="44">
        <v>30240429</v>
      </c>
      <c r="D176" s="44" t="s">
        <v>1685</v>
      </c>
      <c r="E176" s="45">
        <v>3300</v>
      </c>
    </row>
    <row r="177" spans="3:5" ht="15" customHeight="1" x14ac:dyDescent="0.25">
      <c r="C177" s="42">
        <v>30240777</v>
      </c>
      <c r="D177" s="42" t="s">
        <v>1686</v>
      </c>
      <c r="E177" s="43">
        <v>7500</v>
      </c>
    </row>
    <row r="178" spans="3:5" ht="15" customHeight="1" x14ac:dyDescent="0.25">
      <c r="C178" s="44">
        <v>10070345</v>
      </c>
      <c r="D178" s="44" t="s">
        <v>1687</v>
      </c>
      <c r="E178" s="45">
        <v>6120</v>
      </c>
    </row>
    <row r="179" spans="3:5" ht="15" customHeight="1" x14ac:dyDescent="0.25">
      <c r="C179" s="42">
        <v>30242327</v>
      </c>
      <c r="D179" s="42" t="s">
        <v>1688</v>
      </c>
      <c r="E179" s="43">
        <v>2145</v>
      </c>
    </row>
    <row r="180" spans="3:5" ht="15" customHeight="1" x14ac:dyDescent="0.25">
      <c r="C180" s="44">
        <v>30243607</v>
      </c>
      <c r="D180" s="44" t="s">
        <v>1689</v>
      </c>
      <c r="E180" s="45">
        <v>2678</v>
      </c>
    </row>
    <row r="181" spans="3:5" ht="15" customHeight="1" x14ac:dyDescent="0.25">
      <c r="C181" s="42">
        <v>30244207</v>
      </c>
      <c r="D181" s="42" t="s">
        <v>1690</v>
      </c>
      <c r="E181" s="43">
        <v>5000</v>
      </c>
    </row>
    <row r="182" spans="3:5" ht="15" customHeight="1" x14ac:dyDescent="0.25">
      <c r="C182" s="44">
        <v>30244933</v>
      </c>
      <c r="D182" s="44" t="s">
        <v>1691</v>
      </c>
      <c r="E182" s="45">
        <v>2000</v>
      </c>
    </row>
    <row r="183" spans="3:5" ht="15" customHeight="1" x14ac:dyDescent="0.25">
      <c r="C183" s="42">
        <v>30245992</v>
      </c>
      <c r="D183" s="42" t="s">
        <v>1692</v>
      </c>
      <c r="E183" s="43">
        <v>2168</v>
      </c>
    </row>
    <row r="184" spans="3:5" ht="15" customHeight="1" x14ac:dyDescent="0.25">
      <c r="C184" s="44">
        <v>30246605</v>
      </c>
      <c r="D184" s="44" t="s">
        <v>1693</v>
      </c>
      <c r="E184" s="45">
        <v>2150</v>
      </c>
    </row>
    <row r="185" spans="3:5" ht="15" customHeight="1" x14ac:dyDescent="0.25">
      <c r="C185" s="42">
        <v>30249193</v>
      </c>
      <c r="D185" s="42" t="s">
        <v>1694</v>
      </c>
      <c r="E185" s="43">
        <v>17702</v>
      </c>
    </row>
    <row r="186" spans="3:5" ht="15" customHeight="1" x14ac:dyDescent="0.25">
      <c r="C186" s="44">
        <v>30252082</v>
      </c>
      <c r="D186" s="44" t="s">
        <v>1695</v>
      </c>
      <c r="E186" s="45">
        <v>4393</v>
      </c>
    </row>
    <row r="187" spans="3:5" ht="15" customHeight="1" x14ac:dyDescent="0.25">
      <c r="C187" s="42">
        <v>30252082</v>
      </c>
      <c r="D187" s="42" t="s">
        <v>1696</v>
      </c>
      <c r="E187" s="43">
        <v>4393</v>
      </c>
    </row>
    <row r="188" spans="3:5" ht="15" customHeight="1" x14ac:dyDescent="0.25">
      <c r="C188" s="44">
        <v>30253025</v>
      </c>
      <c r="D188" s="44" t="s">
        <v>1697</v>
      </c>
      <c r="E188" s="45">
        <v>1100</v>
      </c>
    </row>
    <row r="189" spans="3:5" ht="15" customHeight="1" x14ac:dyDescent="0.25">
      <c r="C189" s="42">
        <v>10070374</v>
      </c>
      <c r="D189" s="42" t="s">
        <v>1698</v>
      </c>
      <c r="E189" s="43">
        <v>1002</v>
      </c>
    </row>
    <row r="190" spans="3:5" ht="15" customHeight="1" x14ac:dyDescent="0.25">
      <c r="C190" s="44">
        <v>30253148</v>
      </c>
      <c r="D190" s="44" t="s">
        <v>1699</v>
      </c>
      <c r="E190" s="45">
        <v>1116</v>
      </c>
    </row>
    <row r="191" spans="3:5" ht="15" customHeight="1" x14ac:dyDescent="0.25">
      <c r="C191" s="42">
        <v>30255441</v>
      </c>
      <c r="D191" s="42" t="s">
        <v>1700</v>
      </c>
      <c r="E191" s="43">
        <v>3000</v>
      </c>
    </row>
    <row r="192" spans="3:5" ht="15" customHeight="1" x14ac:dyDescent="0.25">
      <c r="C192" s="44">
        <v>30255660</v>
      </c>
      <c r="D192" s="44" t="s">
        <v>1701</v>
      </c>
      <c r="E192" s="45">
        <v>18000</v>
      </c>
    </row>
    <row r="193" spans="3:5" ht="15" customHeight="1" x14ac:dyDescent="0.25">
      <c r="C193" s="42">
        <v>30255759</v>
      </c>
      <c r="D193" s="42" t="s">
        <v>1702</v>
      </c>
      <c r="E193" s="43">
        <v>75313</v>
      </c>
    </row>
    <row r="194" spans="3:5" ht="15" customHeight="1" x14ac:dyDescent="0.25">
      <c r="C194" s="44">
        <v>30255762</v>
      </c>
      <c r="D194" s="44" t="s">
        <v>1703</v>
      </c>
      <c r="E194" s="45">
        <v>3300</v>
      </c>
    </row>
    <row r="195" spans="3:5" ht="15" customHeight="1" x14ac:dyDescent="0.25">
      <c r="C195" s="42">
        <v>30256008</v>
      </c>
      <c r="D195" s="42" t="s">
        <v>1704</v>
      </c>
      <c r="E195" s="43">
        <v>2170</v>
      </c>
    </row>
    <row r="196" spans="3:5" ht="15" customHeight="1" x14ac:dyDescent="0.25">
      <c r="C196" s="44">
        <v>30257781</v>
      </c>
      <c r="D196" s="44" t="s">
        <v>1705</v>
      </c>
      <c r="E196" s="45">
        <v>3000</v>
      </c>
    </row>
    <row r="197" spans="3:5" ht="15" customHeight="1" x14ac:dyDescent="0.25">
      <c r="C197" s="42">
        <v>30258298</v>
      </c>
      <c r="D197" s="42" t="s">
        <v>1706</v>
      </c>
      <c r="E197" s="43">
        <v>5029</v>
      </c>
    </row>
    <row r="198" spans="3:5" ht="15" customHeight="1" x14ac:dyDescent="0.25">
      <c r="C198" s="44">
        <v>30260265</v>
      </c>
      <c r="D198" s="44" t="s">
        <v>1707</v>
      </c>
      <c r="E198" s="45">
        <v>2559</v>
      </c>
    </row>
    <row r="199" spans="3:5" ht="15" customHeight="1" x14ac:dyDescent="0.25">
      <c r="C199" s="42">
        <v>30262992</v>
      </c>
      <c r="D199" s="42" t="s">
        <v>1708</v>
      </c>
      <c r="E199" s="43">
        <v>11679</v>
      </c>
    </row>
    <row r="200" spans="3:5" ht="15" customHeight="1" x14ac:dyDescent="0.25">
      <c r="C200" s="44">
        <v>10073042</v>
      </c>
      <c r="D200" s="44" t="s">
        <v>1709</v>
      </c>
      <c r="E200" s="44">
        <v>952</v>
      </c>
    </row>
    <row r="201" spans="3:5" ht="15" customHeight="1" x14ac:dyDescent="0.25">
      <c r="C201" s="42">
        <v>30263675</v>
      </c>
      <c r="D201" s="42" t="s">
        <v>1710</v>
      </c>
      <c r="E201" s="43">
        <v>5000</v>
      </c>
    </row>
    <row r="202" spans="3:5" ht="15" customHeight="1" x14ac:dyDescent="0.25">
      <c r="C202" s="44">
        <v>30264259</v>
      </c>
      <c r="D202" s="44" t="s">
        <v>1711</v>
      </c>
      <c r="E202" s="45">
        <v>3841</v>
      </c>
    </row>
    <row r="203" spans="3:5" ht="15" customHeight="1" x14ac:dyDescent="0.25">
      <c r="C203" s="42">
        <v>30264594</v>
      </c>
      <c r="D203" s="42" t="s">
        <v>1712</v>
      </c>
      <c r="E203" s="43">
        <v>5000</v>
      </c>
    </row>
    <row r="204" spans="3:5" ht="15" customHeight="1" x14ac:dyDescent="0.25">
      <c r="C204" s="44">
        <v>30265471</v>
      </c>
      <c r="D204" s="44" t="s">
        <v>1713</v>
      </c>
      <c r="E204" s="45">
        <v>2000</v>
      </c>
    </row>
    <row r="205" spans="3:5" ht="15" customHeight="1" x14ac:dyDescent="0.25">
      <c r="C205" s="42">
        <v>30266087</v>
      </c>
      <c r="D205" s="42" t="s">
        <v>1714</v>
      </c>
      <c r="E205" s="43">
        <v>3040</v>
      </c>
    </row>
    <row r="206" spans="3:5" ht="15" customHeight="1" x14ac:dyDescent="0.25">
      <c r="C206" s="44">
        <v>30266089</v>
      </c>
      <c r="D206" s="44" t="s">
        <v>1715</v>
      </c>
      <c r="E206" s="45">
        <v>10292</v>
      </c>
    </row>
    <row r="207" spans="3:5" ht="15" customHeight="1" x14ac:dyDescent="0.25">
      <c r="C207" s="42">
        <v>30270918</v>
      </c>
      <c r="D207" s="42" t="s">
        <v>1716</v>
      </c>
      <c r="E207" s="43">
        <v>2977</v>
      </c>
    </row>
    <row r="208" spans="3:5" ht="15" customHeight="1" x14ac:dyDescent="0.25">
      <c r="C208" s="44">
        <v>30278833</v>
      </c>
      <c r="D208" s="44" t="s">
        <v>1717</v>
      </c>
      <c r="E208" s="45">
        <v>3000</v>
      </c>
    </row>
    <row r="209" spans="3:5" ht="15" customHeight="1" x14ac:dyDescent="0.25">
      <c r="C209" s="42">
        <v>30279546</v>
      </c>
      <c r="D209" s="42" t="s">
        <v>1718</v>
      </c>
      <c r="E209" s="43">
        <v>75665</v>
      </c>
    </row>
    <row r="210" spans="3:5" ht="15" customHeight="1" x14ac:dyDescent="0.25">
      <c r="C210" s="44">
        <v>30281947</v>
      </c>
      <c r="D210" s="44" t="s">
        <v>1719</v>
      </c>
      <c r="E210" s="45">
        <v>3845</v>
      </c>
    </row>
    <row r="211" spans="3:5" ht="15" customHeight="1" x14ac:dyDescent="0.25">
      <c r="C211" s="42">
        <v>10078334</v>
      </c>
      <c r="D211" s="42" t="s">
        <v>1720</v>
      </c>
      <c r="E211" s="43">
        <v>2210</v>
      </c>
    </row>
    <row r="212" spans="3:5" ht="15" customHeight="1" x14ac:dyDescent="0.25">
      <c r="C212" s="44">
        <v>30284193</v>
      </c>
      <c r="D212" s="44" t="s">
        <v>1721</v>
      </c>
      <c r="E212" s="45">
        <v>2448</v>
      </c>
    </row>
    <row r="213" spans="3:5" ht="15" customHeight="1" x14ac:dyDescent="0.25">
      <c r="C213" s="42">
        <v>30284204</v>
      </c>
      <c r="D213" s="42" t="s">
        <v>1722</v>
      </c>
      <c r="E213" s="43">
        <v>5774</v>
      </c>
    </row>
    <row r="214" spans="3:5" ht="15" customHeight="1" x14ac:dyDescent="0.25">
      <c r="C214" s="44">
        <v>30284210</v>
      </c>
      <c r="D214" s="44" t="s">
        <v>1723</v>
      </c>
      <c r="E214" s="45">
        <v>20017</v>
      </c>
    </row>
    <row r="215" spans="3:5" ht="15" customHeight="1" x14ac:dyDescent="0.25">
      <c r="C215" s="42">
        <v>30284243</v>
      </c>
      <c r="D215" s="42" t="s">
        <v>1724</v>
      </c>
      <c r="E215" s="43">
        <v>15213</v>
      </c>
    </row>
    <row r="216" spans="3:5" ht="15" customHeight="1" x14ac:dyDescent="0.25">
      <c r="C216" s="44">
        <v>30284358</v>
      </c>
      <c r="D216" s="44" t="s">
        <v>1725</v>
      </c>
      <c r="E216" s="45">
        <v>2654</v>
      </c>
    </row>
    <row r="217" spans="3:5" ht="15" customHeight="1" x14ac:dyDescent="0.25">
      <c r="C217" s="42">
        <v>30284376</v>
      </c>
      <c r="D217" s="42" t="s">
        <v>1726</v>
      </c>
      <c r="E217" s="43">
        <v>11441</v>
      </c>
    </row>
    <row r="218" spans="3:5" ht="15" customHeight="1" x14ac:dyDescent="0.25">
      <c r="C218" s="44">
        <v>30285556</v>
      </c>
      <c r="D218" s="44" t="s">
        <v>1727</v>
      </c>
      <c r="E218" s="45">
        <v>2018</v>
      </c>
    </row>
    <row r="219" spans="3:5" ht="15" customHeight="1" x14ac:dyDescent="0.25">
      <c r="C219" s="42">
        <v>30287018</v>
      </c>
      <c r="D219" s="42" t="s">
        <v>1728</v>
      </c>
      <c r="E219" s="43">
        <v>3550</v>
      </c>
    </row>
    <row r="220" spans="3:5" ht="15" customHeight="1" x14ac:dyDescent="0.25">
      <c r="C220" s="44">
        <v>30288838</v>
      </c>
      <c r="D220" s="44" t="s">
        <v>1729</v>
      </c>
      <c r="E220" s="45">
        <v>2309</v>
      </c>
    </row>
    <row r="221" spans="3:5" ht="15" customHeight="1" x14ac:dyDescent="0.25">
      <c r="C221" s="42">
        <v>30289610</v>
      </c>
      <c r="D221" s="42" t="s">
        <v>1730</v>
      </c>
      <c r="E221" s="43">
        <v>2100</v>
      </c>
    </row>
    <row r="222" spans="3:5" ht="15" customHeight="1" x14ac:dyDescent="0.25">
      <c r="C222" s="44">
        <v>10007097</v>
      </c>
      <c r="D222" s="44" t="s">
        <v>1731</v>
      </c>
      <c r="E222" s="45">
        <v>1266</v>
      </c>
    </row>
    <row r="223" spans="3:5" ht="15" customHeight="1" x14ac:dyDescent="0.25">
      <c r="C223" s="42">
        <v>10078401</v>
      </c>
      <c r="D223" s="42" t="s">
        <v>1732</v>
      </c>
      <c r="E223" s="42">
        <v>644</v>
      </c>
    </row>
    <row r="224" spans="3:5" ht="15" customHeight="1" x14ac:dyDescent="0.25">
      <c r="C224" s="44">
        <v>30290756</v>
      </c>
      <c r="D224" s="44" t="s">
        <v>1733</v>
      </c>
      <c r="E224" s="45">
        <v>4931</v>
      </c>
    </row>
    <row r="225" spans="3:5" ht="15" customHeight="1" x14ac:dyDescent="0.25">
      <c r="C225" s="42">
        <v>30291827</v>
      </c>
      <c r="D225" s="42" t="s">
        <v>1734</v>
      </c>
      <c r="E225" s="43">
        <v>5203</v>
      </c>
    </row>
    <row r="226" spans="3:5" ht="15" customHeight="1" x14ac:dyDescent="0.25">
      <c r="C226" s="44">
        <v>30292525</v>
      </c>
      <c r="D226" s="44" t="s">
        <v>1735</v>
      </c>
      <c r="E226" s="45">
        <v>25981</v>
      </c>
    </row>
    <row r="227" spans="3:5" ht="15" customHeight="1" x14ac:dyDescent="0.25">
      <c r="C227" s="42">
        <v>30293927</v>
      </c>
      <c r="D227" s="42" t="s">
        <v>1736</v>
      </c>
      <c r="E227" s="43">
        <v>15000</v>
      </c>
    </row>
    <row r="228" spans="3:5" ht="15" customHeight="1" x14ac:dyDescent="0.25">
      <c r="C228" s="44">
        <v>30297068</v>
      </c>
      <c r="D228" s="44" t="s">
        <v>1737</v>
      </c>
      <c r="E228" s="45">
        <v>3415</v>
      </c>
    </row>
    <row r="229" spans="3:5" ht="15" customHeight="1" x14ac:dyDescent="0.25">
      <c r="C229" s="42">
        <v>30298417</v>
      </c>
      <c r="D229" s="42" t="s">
        <v>1738</v>
      </c>
      <c r="E229" s="43">
        <v>2728</v>
      </c>
    </row>
    <row r="230" spans="3:5" ht="15" customHeight="1" x14ac:dyDescent="0.25">
      <c r="C230" s="44">
        <v>30298797</v>
      </c>
      <c r="D230" s="44" t="s">
        <v>1739</v>
      </c>
      <c r="E230" s="45">
        <v>5200</v>
      </c>
    </row>
    <row r="231" spans="3:5" ht="15" customHeight="1" x14ac:dyDescent="0.25">
      <c r="C231" s="42">
        <v>30298797</v>
      </c>
      <c r="D231" s="42" t="s">
        <v>1740</v>
      </c>
      <c r="E231" s="43">
        <v>5200</v>
      </c>
    </row>
    <row r="232" spans="3:5" ht="15" customHeight="1" x14ac:dyDescent="0.25">
      <c r="C232" s="44">
        <v>30299334</v>
      </c>
      <c r="D232" s="44" t="s">
        <v>1741</v>
      </c>
      <c r="E232" s="45">
        <v>5195</v>
      </c>
    </row>
    <row r="233" spans="3:5" ht="15" customHeight="1" x14ac:dyDescent="0.25">
      <c r="C233" s="42">
        <v>30299429</v>
      </c>
      <c r="D233" s="42" t="s">
        <v>1742</v>
      </c>
      <c r="E233" s="43">
        <v>2319</v>
      </c>
    </row>
    <row r="234" spans="3:5" ht="15" customHeight="1" x14ac:dyDescent="0.25">
      <c r="C234" s="44">
        <v>10079249</v>
      </c>
      <c r="D234" s="44" t="s">
        <v>1743</v>
      </c>
      <c r="E234" s="45">
        <v>12743</v>
      </c>
    </row>
    <row r="235" spans="3:5" ht="15" customHeight="1" x14ac:dyDescent="0.25">
      <c r="C235" s="42">
        <v>30299863</v>
      </c>
      <c r="D235" s="42" t="s">
        <v>1744</v>
      </c>
      <c r="E235" s="43">
        <v>3172</v>
      </c>
    </row>
    <row r="236" spans="3:5" ht="15" customHeight="1" x14ac:dyDescent="0.25">
      <c r="C236" s="44">
        <v>30300274</v>
      </c>
      <c r="D236" s="44" t="s">
        <v>1745</v>
      </c>
      <c r="E236" s="45">
        <v>3237</v>
      </c>
    </row>
    <row r="237" spans="3:5" ht="15" customHeight="1" x14ac:dyDescent="0.25">
      <c r="C237" s="42">
        <v>30300595</v>
      </c>
      <c r="D237" s="42" t="s">
        <v>1746</v>
      </c>
      <c r="E237" s="43">
        <v>6000</v>
      </c>
    </row>
    <row r="238" spans="3:5" ht="15" customHeight="1" x14ac:dyDescent="0.25">
      <c r="C238" s="44">
        <v>30300882</v>
      </c>
      <c r="D238" s="44" t="s">
        <v>1747</v>
      </c>
      <c r="E238" s="45">
        <v>4000</v>
      </c>
    </row>
    <row r="239" spans="3:5" ht="15" customHeight="1" x14ac:dyDescent="0.25">
      <c r="C239" s="42">
        <v>30302201</v>
      </c>
      <c r="D239" s="42" t="s">
        <v>1748</v>
      </c>
      <c r="E239" s="43">
        <v>3542</v>
      </c>
    </row>
    <row r="240" spans="3:5" ht="15" customHeight="1" x14ac:dyDescent="0.25">
      <c r="C240" s="44">
        <v>30303093</v>
      </c>
      <c r="D240" s="44" t="s">
        <v>1749</v>
      </c>
      <c r="E240" s="45">
        <v>3300</v>
      </c>
    </row>
    <row r="241" spans="3:5" ht="15" customHeight="1" x14ac:dyDescent="0.25">
      <c r="C241" s="42">
        <v>30303831</v>
      </c>
      <c r="D241" s="42" t="s">
        <v>1750</v>
      </c>
      <c r="E241" s="43">
        <v>3675</v>
      </c>
    </row>
    <row r="242" spans="3:5" ht="15" customHeight="1" x14ac:dyDescent="0.25">
      <c r="C242" s="44">
        <v>30222631</v>
      </c>
      <c r="D242" s="44" t="s">
        <v>1751</v>
      </c>
      <c r="E242" s="45">
        <v>2112</v>
      </c>
    </row>
    <row r="243" spans="3:5" ht="15" customHeight="1" x14ac:dyDescent="0.25">
      <c r="C243" s="42">
        <v>10012275</v>
      </c>
      <c r="D243" s="42" t="s">
        <v>1752</v>
      </c>
      <c r="E243" s="43">
        <v>3835</v>
      </c>
    </row>
    <row r="244" spans="3:5" ht="15" customHeight="1" x14ac:dyDescent="0.25">
      <c r="C244" s="44">
        <v>10018045</v>
      </c>
      <c r="D244" s="44" t="s">
        <v>1753</v>
      </c>
      <c r="E244" s="45">
        <v>1006</v>
      </c>
    </row>
    <row r="245" spans="3:5" ht="15" customHeight="1" x14ac:dyDescent="0.25">
      <c r="C245" s="42">
        <v>10081453</v>
      </c>
      <c r="D245" s="42" t="s">
        <v>1754</v>
      </c>
      <c r="E245" s="43">
        <v>1642</v>
      </c>
    </row>
    <row r="246" spans="3:5" ht="15" customHeight="1" x14ac:dyDescent="0.25">
      <c r="C246" s="44">
        <v>10033040</v>
      </c>
      <c r="D246" s="44" t="s">
        <v>1755</v>
      </c>
      <c r="E246" s="45">
        <v>3003</v>
      </c>
    </row>
    <row r="247" spans="3:5" ht="15" customHeight="1" x14ac:dyDescent="0.25">
      <c r="C247" s="42">
        <v>10030372</v>
      </c>
      <c r="D247" s="42" t="s">
        <v>1756</v>
      </c>
      <c r="E247" s="43">
        <v>1282</v>
      </c>
    </row>
    <row r="248" spans="3:5" ht="15" customHeight="1" x14ac:dyDescent="0.25">
      <c r="C248" s="44">
        <v>10033905</v>
      </c>
      <c r="D248" s="44" t="s">
        <v>1757</v>
      </c>
      <c r="E248" s="45">
        <v>1578</v>
      </c>
    </row>
    <row r="249" spans="3:5" ht="15" customHeight="1" x14ac:dyDescent="0.25">
      <c r="C249" s="42">
        <v>10045418</v>
      </c>
      <c r="D249" s="42" t="s">
        <v>1758</v>
      </c>
      <c r="E249" s="43">
        <v>1001</v>
      </c>
    </row>
    <row r="250" spans="3:5" ht="15" customHeight="1" x14ac:dyDescent="0.25">
      <c r="C250" s="44">
        <v>10050335</v>
      </c>
      <c r="D250" s="44" t="s">
        <v>1759</v>
      </c>
      <c r="E250" s="45">
        <v>8529</v>
      </c>
    </row>
    <row r="251" spans="3:5" ht="15" customHeight="1" x14ac:dyDescent="0.25">
      <c r="C251" s="42">
        <v>10055060</v>
      </c>
      <c r="D251" s="42" t="s">
        <v>1760</v>
      </c>
      <c r="E251" s="43">
        <v>5176</v>
      </c>
    </row>
    <row r="252" spans="3:5" ht="15" customHeight="1" x14ac:dyDescent="0.25">
      <c r="C252" s="44">
        <v>10044465</v>
      </c>
      <c r="D252" s="44" t="s">
        <v>1761</v>
      </c>
      <c r="E252" s="45">
        <v>8646</v>
      </c>
    </row>
    <row r="253" spans="3:5" ht="15" customHeight="1" x14ac:dyDescent="0.25">
      <c r="C253" s="42">
        <v>10059602</v>
      </c>
      <c r="D253" s="42" t="s">
        <v>1762</v>
      </c>
      <c r="E253" s="43">
        <v>1623</v>
      </c>
    </row>
    <row r="254" spans="3:5" ht="15" customHeight="1" x14ac:dyDescent="0.25">
      <c r="C254" s="44">
        <v>30294901</v>
      </c>
      <c r="D254" s="44" t="s">
        <v>1763</v>
      </c>
      <c r="E254" s="45">
        <v>13525</v>
      </c>
    </row>
    <row r="255" spans="3:5" ht="15" customHeight="1" x14ac:dyDescent="0.25">
      <c r="C255" s="42">
        <v>30053611</v>
      </c>
      <c r="D255" s="42" t="s">
        <v>1764</v>
      </c>
      <c r="E255" s="43">
        <v>5865</v>
      </c>
    </row>
    <row r="256" spans="3:5" ht="15" customHeight="1" x14ac:dyDescent="0.25">
      <c r="C256" s="44">
        <v>10102216</v>
      </c>
      <c r="D256" s="44" t="s">
        <v>1765</v>
      </c>
      <c r="E256" s="45">
        <v>2100</v>
      </c>
    </row>
    <row r="257" spans="3:5" ht="15" customHeight="1" x14ac:dyDescent="0.25">
      <c r="C257" s="42">
        <v>30146142</v>
      </c>
      <c r="D257" s="42" t="s">
        <v>1766</v>
      </c>
      <c r="E257" s="43">
        <v>1147</v>
      </c>
    </row>
    <row r="258" spans="3:5" ht="15" customHeight="1" x14ac:dyDescent="0.25">
      <c r="C258" s="44">
        <v>30160730</v>
      </c>
      <c r="D258" s="44" t="s">
        <v>1767</v>
      </c>
      <c r="E258" s="45">
        <v>13746</v>
      </c>
    </row>
    <row r="259" spans="3:5" ht="15" customHeight="1" x14ac:dyDescent="0.25">
      <c r="C259" s="42">
        <v>10106578</v>
      </c>
      <c r="D259" s="42" t="s">
        <v>1768</v>
      </c>
      <c r="E259" s="43">
        <v>3000</v>
      </c>
    </row>
    <row r="260" spans="3:5" ht="15" customHeight="1" x14ac:dyDescent="0.25">
      <c r="C260" s="44">
        <v>30195647</v>
      </c>
      <c r="D260" s="44" t="s">
        <v>1769</v>
      </c>
      <c r="E260" s="45">
        <v>4000</v>
      </c>
    </row>
    <row r="261" spans="3:5" ht="15" customHeight="1" x14ac:dyDescent="0.25">
      <c r="C261" s="42">
        <v>30060851</v>
      </c>
      <c r="D261" s="42" t="s">
        <v>1770</v>
      </c>
      <c r="E261" s="43">
        <v>2010</v>
      </c>
    </row>
    <row r="262" spans="3:5" ht="15" customHeight="1" x14ac:dyDescent="0.25">
      <c r="C262" s="44">
        <v>30195207</v>
      </c>
      <c r="D262" s="44" t="s">
        <v>1771</v>
      </c>
      <c r="E262" s="45">
        <v>2000</v>
      </c>
    </row>
    <row r="263" spans="3:5" ht="15" customHeight="1" x14ac:dyDescent="0.25">
      <c r="C263" s="42">
        <v>30165989</v>
      </c>
      <c r="D263" s="42" t="s">
        <v>1772</v>
      </c>
      <c r="E263" s="42">
        <v>796</v>
      </c>
    </row>
    <row r="264" spans="3:5" ht="15" customHeight="1" x14ac:dyDescent="0.25">
      <c r="C264" s="44">
        <v>30165990</v>
      </c>
      <c r="D264" s="44" t="s">
        <v>1773</v>
      </c>
      <c r="E264" s="45">
        <v>5806</v>
      </c>
    </row>
    <row r="265" spans="3:5" ht="15" customHeight="1" x14ac:dyDescent="0.25">
      <c r="C265" s="42">
        <v>30165991</v>
      </c>
      <c r="D265" s="42" t="s">
        <v>1774</v>
      </c>
      <c r="E265" s="43">
        <v>5806</v>
      </c>
    </row>
    <row r="266" spans="3:5" ht="15" customHeight="1" x14ac:dyDescent="0.25">
      <c r="C266" s="44">
        <v>30199638</v>
      </c>
      <c r="D266" s="44" t="s">
        <v>1775</v>
      </c>
      <c r="E266" s="45">
        <v>2000</v>
      </c>
    </row>
    <row r="267" spans="3:5" ht="15" customHeight="1" x14ac:dyDescent="0.25">
      <c r="C267" s="42">
        <v>10102296</v>
      </c>
      <c r="D267" s="42" t="s">
        <v>1776</v>
      </c>
      <c r="E267" s="43">
        <v>1237</v>
      </c>
    </row>
    <row r="268" spans="3:5" ht="15" customHeight="1" x14ac:dyDescent="0.25">
      <c r="C268" s="44">
        <v>10188066</v>
      </c>
      <c r="D268" s="44" t="s">
        <v>1777</v>
      </c>
      <c r="E268" s="45">
        <v>11160</v>
      </c>
    </row>
    <row r="269" spans="3:5" ht="15" customHeight="1" x14ac:dyDescent="0.25">
      <c r="C269" s="42">
        <v>10008413</v>
      </c>
      <c r="D269" s="42" t="s">
        <v>1778</v>
      </c>
      <c r="E269" s="43">
        <v>1284</v>
      </c>
    </row>
    <row r="270" spans="3:5" ht="15" customHeight="1" x14ac:dyDescent="0.25">
      <c r="C270" s="44">
        <v>30125926</v>
      </c>
      <c r="D270" s="44" t="s">
        <v>1779</v>
      </c>
      <c r="E270" s="45">
        <v>2581</v>
      </c>
    </row>
    <row r="271" spans="3:5" ht="15" customHeight="1" x14ac:dyDescent="0.25">
      <c r="C271" s="42">
        <v>10056559</v>
      </c>
      <c r="D271" s="42" t="s">
        <v>1780</v>
      </c>
      <c r="E271" s="43">
        <v>1125</v>
      </c>
    </row>
    <row r="272" spans="3:5" ht="15" customHeight="1" x14ac:dyDescent="0.25">
      <c r="C272" s="44">
        <v>10056106</v>
      </c>
      <c r="D272" s="44" t="s">
        <v>1781</v>
      </c>
      <c r="E272" s="45">
        <v>2114</v>
      </c>
    </row>
    <row r="273" spans="3:5" ht="15" customHeight="1" x14ac:dyDescent="0.25">
      <c r="C273" s="42">
        <v>10189416</v>
      </c>
      <c r="D273" s="42" t="s">
        <v>1782</v>
      </c>
      <c r="E273" s="43">
        <v>10072</v>
      </c>
    </row>
    <row r="274" spans="3:5" ht="15" customHeight="1" x14ac:dyDescent="0.25">
      <c r="C274" s="44">
        <v>30196236</v>
      </c>
      <c r="D274" s="44" t="s">
        <v>1783</v>
      </c>
      <c r="E274" s="45">
        <v>2000</v>
      </c>
    </row>
    <row r="275" spans="3:5" ht="15" customHeight="1" x14ac:dyDescent="0.25">
      <c r="C275" s="42">
        <v>30195346</v>
      </c>
      <c r="D275" s="42" t="s">
        <v>1784</v>
      </c>
      <c r="E275" s="43">
        <v>2181</v>
      </c>
    </row>
    <row r="276" spans="3:5" ht="15" customHeight="1" x14ac:dyDescent="0.25">
      <c r="C276" s="44">
        <v>10158856</v>
      </c>
      <c r="D276" s="44" t="s">
        <v>1785</v>
      </c>
      <c r="E276" s="45">
        <v>2424</v>
      </c>
    </row>
    <row r="277" spans="3:5" ht="15" customHeight="1" x14ac:dyDescent="0.25">
      <c r="C277" s="42">
        <v>10106429</v>
      </c>
      <c r="D277" s="42" t="s">
        <v>1786</v>
      </c>
      <c r="E277" s="43">
        <v>4476</v>
      </c>
    </row>
    <row r="278" spans="3:5" ht="15" customHeight="1" x14ac:dyDescent="0.25">
      <c r="C278" s="44">
        <v>10198436</v>
      </c>
      <c r="D278" s="44" t="s">
        <v>1787</v>
      </c>
      <c r="E278" s="45">
        <v>4400</v>
      </c>
    </row>
    <row r="279" spans="3:5" ht="15" customHeight="1" x14ac:dyDescent="0.25">
      <c r="C279" s="42">
        <v>10066545</v>
      </c>
      <c r="D279" s="42" t="s">
        <v>1788</v>
      </c>
      <c r="E279" s="43">
        <v>1072</v>
      </c>
    </row>
    <row r="280" spans="3:5" ht="15" customHeight="1" x14ac:dyDescent="0.25">
      <c r="C280" s="44">
        <v>10060822</v>
      </c>
      <c r="D280" s="44" t="s">
        <v>1789</v>
      </c>
      <c r="E280" s="45">
        <v>2220</v>
      </c>
    </row>
    <row r="281" spans="3:5" ht="15" customHeight="1" x14ac:dyDescent="0.25">
      <c r="C281" s="42">
        <v>10040478</v>
      </c>
      <c r="D281" s="42" t="s">
        <v>1790</v>
      </c>
      <c r="E281" s="43">
        <v>3172</v>
      </c>
    </row>
    <row r="282" spans="3:5" ht="15" customHeight="1" x14ac:dyDescent="0.25">
      <c r="C282" s="44">
        <v>10059168</v>
      </c>
      <c r="D282" s="44" t="s">
        <v>1791</v>
      </c>
      <c r="E282" s="45">
        <v>1156</v>
      </c>
    </row>
    <row r="283" spans="3:5" ht="15" customHeight="1" x14ac:dyDescent="0.25">
      <c r="C283" s="42">
        <v>10018878</v>
      </c>
      <c r="D283" s="42" t="s">
        <v>1792</v>
      </c>
      <c r="E283" s="43">
        <v>3018</v>
      </c>
    </row>
    <row r="284" spans="3:5" ht="15" customHeight="1" x14ac:dyDescent="0.25">
      <c r="C284" s="44">
        <v>10048372</v>
      </c>
      <c r="D284" s="44" t="s">
        <v>1793</v>
      </c>
      <c r="E284" s="45">
        <v>1001</v>
      </c>
    </row>
    <row r="285" spans="3:5" ht="15" customHeight="1" x14ac:dyDescent="0.25">
      <c r="C285" s="42">
        <v>10118988</v>
      </c>
      <c r="D285" s="42" t="s">
        <v>1794</v>
      </c>
      <c r="E285" s="43">
        <v>3075</v>
      </c>
    </row>
    <row r="286" spans="3:5" ht="15" customHeight="1" x14ac:dyDescent="0.25">
      <c r="C286" s="44">
        <v>10060551</v>
      </c>
      <c r="D286" s="44" t="s">
        <v>1795</v>
      </c>
      <c r="E286" s="45">
        <v>3103</v>
      </c>
    </row>
    <row r="287" spans="3:5" ht="15" customHeight="1" x14ac:dyDescent="0.25">
      <c r="C287" s="42">
        <v>10070843</v>
      </c>
      <c r="D287" s="42" t="s">
        <v>1796</v>
      </c>
      <c r="E287" s="43">
        <v>1383</v>
      </c>
    </row>
    <row r="288" spans="3:5" ht="15" customHeight="1" x14ac:dyDescent="0.25">
      <c r="C288" s="44">
        <v>10107752</v>
      </c>
      <c r="D288" s="44" t="s">
        <v>1797</v>
      </c>
      <c r="E288" s="45">
        <v>3047</v>
      </c>
    </row>
    <row r="289" spans="3:5" ht="15" customHeight="1" x14ac:dyDescent="0.25">
      <c r="C289" s="42">
        <v>30125914</v>
      </c>
      <c r="D289" s="42" t="s">
        <v>1798</v>
      </c>
      <c r="E289" s="43">
        <v>2558</v>
      </c>
    </row>
    <row r="290" spans="3:5" ht="15" customHeight="1" x14ac:dyDescent="0.25">
      <c r="C290" s="44">
        <v>30143434</v>
      </c>
      <c r="D290" s="44" t="s">
        <v>1799</v>
      </c>
      <c r="E290" s="45">
        <v>3568</v>
      </c>
    </row>
    <row r="291" spans="3:5" ht="15" customHeight="1" x14ac:dyDescent="0.25">
      <c r="C291" s="42">
        <v>10006756</v>
      </c>
      <c r="D291" s="42" t="s">
        <v>1800</v>
      </c>
      <c r="E291" s="42">
        <v>610</v>
      </c>
    </row>
    <row r="292" spans="3:5" ht="15" customHeight="1" x14ac:dyDescent="0.25">
      <c r="C292" s="44">
        <v>10006756</v>
      </c>
      <c r="D292" s="44" t="s">
        <v>1801</v>
      </c>
      <c r="E292" s="44">
        <v>610</v>
      </c>
    </row>
    <row r="293" spans="3:5" ht="15" customHeight="1" x14ac:dyDescent="0.25">
      <c r="C293" s="42">
        <v>10006757</v>
      </c>
      <c r="D293" s="42" t="s">
        <v>1802</v>
      </c>
      <c r="E293" s="42">
        <v>610</v>
      </c>
    </row>
    <row r="294" spans="3:5" ht="15" customHeight="1" x14ac:dyDescent="0.25">
      <c r="C294" s="44">
        <v>10006757</v>
      </c>
      <c r="D294" s="44" t="s">
        <v>1803</v>
      </c>
      <c r="E294" s="44">
        <v>610</v>
      </c>
    </row>
    <row r="295" spans="3:5" ht="15" customHeight="1" x14ac:dyDescent="0.25">
      <c r="C295" s="42">
        <v>10030285</v>
      </c>
      <c r="D295" s="42" t="s">
        <v>1804</v>
      </c>
      <c r="E295" s="43">
        <v>10158</v>
      </c>
    </row>
    <row r="296" spans="3:5" ht="15" customHeight="1" x14ac:dyDescent="0.25">
      <c r="C296" s="44">
        <v>10030285</v>
      </c>
      <c r="D296" s="44" t="s">
        <v>1805</v>
      </c>
      <c r="E296" s="45">
        <v>10158</v>
      </c>
    </row>
    <row r="297" spans="3:5" ht="15" customHeight="1" x14ac:dyDescent="0.25">
      <c r="C297" s="42">
        <v>10037814</v>
      </c>
      <c r="D297" s="42" t="s">
        <v>1806</v>
      </c>
      <c r="E297" s="43">
        <v>2000</v>
      </c>
    </row>
    <row r="298" spans="3:5" ht="15" customHeight="1" x14ac:dyDescent="0.25">
      <c r="C298" s="44">
        <v>10037814</v>
      </c>
      <c r="D298" s="44" t="s">
        <v>1807</v>
      </c>
      <c r="E298" s="45">
        <v>2000</v>
      </c>
    </row>
    <row r="299" spans="3:5" ht="15" customHeight="1" x14ac:dyDescent="0.25">
      <c r="C299" s="42">
        <v>10107824</v>
      </c>
      <c r="D299" s="42" t="s">
        <v>1808</v>
      </c>
      <c r="E299" s="43">
        <v>1584</v>
      </c>
    </row>
    <row r="300" spans="3:5" ht="15" customHeight="1" x14ac:dyDescent="0.25">
      <c r="C300" s="44">
        <v>10058900</v>
      </c>
      <c r="D300" s="44" t="s">
        <v>1809</v>
      </c>
      <c r="E300" s="45">
        <v>1500</v>
      </c>
    </row>
    <row r="301" spans="3:5" ht="15" customHeight="1" x14ac:dyDescent="0.25">
      <c r="C301" s="42">
        <v>10058900</v>
      </c>
      <c r="D301" s="42" t="s">
        <v>1810</v>
      </c>
      <c r="E301" s="43">
        <v>1500</v>
      </c>
    </row>
    <row r="302" spans="3:5" ht="15" customHeight="1" x14ac:dyDescent="0.25">
      <c r="C302" s="44">
        <v>10079891</v>
      </c>
      <c r="D302" s="44" t="s">
        <v>1811</v>
      </c>
      <c r="E302" s="44">
        <v>810</v>
      </c>
    </row>
    <row r="303" spans="3:5" ht="15" customHeight="1" x14ac:dyDescent="0.25">
      <c r="C303" s="42">
        <v>10134446</v>
      </c>
      <c r="D303" s="42" t="s">
        <v>1812</v>
      </c>
      <c r="E303" s="43">
        <v>1500</v>
      </c>
    </row>
    <row r="304" spans="3:5" ht="15" customHeight="1" x14ac:dyDescent="0.25">
      <c r="C304" s="44">
        <v>10134446</v>
      </c>
      <c r="D304" s="44" t="s">
        <v>1813</v>
      </c>
      <c r="E304" s="45">
        <v>1500</v>
      </c>
    </row>
    <row r="305" spans="3:5" ht="15" customHeight="1" x14ac:dyDescent="0.25">
      <c r="C305" s="42">
        <v>10149007</v>
      </c>
      <c r="D305" s="42" t="s">
        <v>1814</v>
      </c>
      <c r="E305" s="43">
        <v>4000</v>
      </c>
    </row>
    <row r="306" spans="3:5" ht="15" customHeight="1" x14ac:dyDescent="0.25">
      <c r="C306" s="44">
        <v>10149007</v>
      </c>
      <c r="D306" s="44" t="s">
        <v>1815</v>
      </c>
      <c r="E306" s="45">
        <v>4000</v>
      </c>
    </row>
    <row r="307" spans="3:5" ht="15" customHeight="1" x14ac:dyDescent="0.25">
      <c r="C307" s="42">
        <v>10190229</v>
      </c>
      <c r="D307" s="42" t="s">
        <v>1816</v>
      </c>
      <c r="E307" s="43">
        <v>2586</v>
      </c>
    </row>
    <row r="308" spans="3:5" ht="15" customHeight="1" x14ac:dyDescent="0.25">
      <c r="C308" s="44">
        <v>10190229</v>
      </c>
      <c r="D308" s="44" t="s">
        <v>1817</v>
      </c>
      <c r="E308" s="45">
        <v>2586</v>
      </c>
    </row>
    <row r="309" spans="3:5" ht="15" customHeight="1" x14ac:dyDescent="0.25">
      <c r="C309" s="42">
        <v>10190963</v>
      </c>
      <c r="D309" s="42" t="s">
        <v>1818</v>
      </c>
      <c r="E309" s="43">
        <v>25159</v>
      </c>
    </row>
    <row r="310" spans="3:5" ht="15" customHeight="1" x14ac:dyDescent="0.25">
      <c r="C310" s="44">
        <v>10115649</v>
      </c>
      <c r="D310" s="44" t="s">
        <v>1819</v>
      </c>
      <c r="E310" s="45">
        <v>1062</v>
      </c>
    </row>
    <row r="311" spans="3:5" ht="15" customHeight="1" x14ac:dyDescent="0.25">
      <c r="C311" s="42">
        <v>10190963</v>
      </c>
      <c r="D311" s="42" t="s">
        <v>1820</v>
      </c>
      <c r="E311" s="43">
        <v>25159</v>
      </c>
    </row>
    <row r="312" spans="3:5" ht="15" customHeight="1" x14ac:dyDescent="0.25">
      <c r="C312" s="44">
        <v>10196299</v>
      </c>
      <c r="D312" s="44" t="s">
        <v>1821</v>
      </c>
      <c r="E312" s="45">
        <v>20862</v>
      </c>
    </row>
    <row r="313" spans="3:5" ht="15" customHeight="1" x14ac:dyDescent="0.25">
      <c r="C313" s="42">
        <v>10196299</v>
      </c>
      <c r="D313" s="42" t="s">
        <v>1822</v>
      </c>
      <c r="E313" s="43">
        <v>20862</v>
      </c>
    </row>
    <row r="314" spans="3:5" ht="15" customHeight="1" x14ac:dyDescent="0.25">
      <c r="C314" s="44">
        <v>10206327</v>
      </c>
      <c r="D314" s="44" t="s">
        <v>1823</v>
      </c>
      <c r="E314" s="45">
        <v>81051</v>
      </c>
    </row>
    <row r="315" spans="3:5" ht="15" customHeight="1" x14ac:dyDescent="0.25">
      <c r="C315" s="42">
        <v>10206327</v>
      </c>
      <c r="D315" s="42" t="s">
        <v>1824</v>
      </c>
      <c r="E315" s="43">
        <v>81051</v>
      </c>
    </row>
    <row r="316" spans="3:5" ht="15" customHeight="1" x14ac:dyDescent="0.25">
      <c r="C316" s="44">
        <v>10215416</v>
      </c>
      <c r="D316" s="44" t="s">
        <v>1825</v>
      </c>
      <c r="E316" s="45">
        <v>3275</v>
      </c>
    </row>
    <row r="317" spans="3:5" ht="15" customHeight="1" x14ac:dyDescent="0.25">
      <c r="C317" s="42">
        <v>10215416</v>
      </c>
      <c r="D317" s="42" t="s">
        <v>1826</v>
      </c>
      <c r="E317" s="43">
        <v>3275</v>
      </c>
    </row>
    <row r="318" spans="3:5" ht="15" customHeight="1" x14ac:dyDescent="0.25">
      <c r="C318" s="44">
        <v>10258304</v>
      </c>
      <c r="D318" s="44" t="s">
        <v>1827</v>
      </c>
      <c r="E318" s="45">
        <v>3550</v>
      </c>
    </row>
    <row r="319" spans="3:5" ht="15" customHeight="1" x14ac:dyDescent="0.25">
      <c r="C319" s="42">
        <v>10258304</v>
      </c>
      <c r="D319" s="42" t="s">
        <v>1828</v>
      </c>
      <c r="E319" s="43">
        <v>3550</v>
      </c>
    </row>
    <row r="320" spans="3:5" ht="15" customHeight="1" x14ac:dyDescent="0.25">
      <c r="C320" s="44">
        <v>10277489</v>
      </c>
      <c r="D320" s="44" t="s">
        <v>1829</v>
      </c>
      <c r="E320" s="45">
        <v>3200</v>
      </c>
    </row>
    <row r="321" spans="3:5" ht="15" customHeight="1" x14ac:dyDescent="0.25">
      <c r="C321" s="42">
        <v>10118936</v>
      </c>
      <c r="D321" s="42" t="s">
        <v>1830</v>
      </c>
      <c r="E321" s="42">
        <v>998</v>
      </c>
    </row>
    <row r="322" spans="3:5" ht="15" customHeight="1" x14ac:dyDescent="0.25">
      <c r="C322" s="44">
        <v>10277489</v>
      </c>
      <c r="D322" s="44" t="s">
        <v>1831</v>
      </c>
      <c r="E322" s="45">
        <v>3200</v>
      </c>
    </row>
    <row r="323" spans="3:5" ht="15" customHeight="1" x14ac:dyDescent="0.25">
      <c r="C323" s="42">
        <v>10291267</v>
      </c>
      <c r="D323" s="42" t="s">
        <v>1832</v>
      </c>
      <c r="E323" s="43">
        <v>5010</v>
      </c>
    </row>
    <row r="324" spans="3:5" ht="15" customHeight="1" x14ac:dyDescent="0.25">
      <c r="C324" s="44">
        <v>10291267</v>
      </c>
      <c r="D324" s="44" t="s">
        <v>1833</v>
      </c>
      <c r="E324" s="45">
        <v>5010</v>
      </c>
    </row>
    <row r="325" spans="3:5" ht="15" customHeight="1" x14ac:dyDescent="0.25">
      <c r="C325" s="42">
        <v>10296335</v>
      </c>
      <c r="D325" s="42" t="s">
        <v>1834</v>
      </c>
      <c r="E325" s="43">
        <v>2512</v>
      </c>
    </row>
    <row r="326" spans="3:5" ht="15" customHeight="1" x14ac:dyDescent="0.25">
      <c r="C326" s="44">
        <v>10296335</v>
      </c>
      <c r="D326" s="44" t="s">
        <v>1835</v>
      </c>
      <c r="E326" s="45">
        <v>2512</v>
      </c>
    </row>
    <row r="327" spans="3:5" ht="15" customHeight="1" x14ac:dyDescent="0.25">
      <c r="C327" s="42">
        <v>30237518</v>
      </c>
      <c r="D327" s="42" t="s">
        <v>1836</v>
      </c>
      <c r="E327" s="43">
        <v>1000</v>
      </c>
    </row>
    <row r="328" spans="3:5" ht="15" customHeight="1" x14ac:dyDescent="0.25">
      <c r="C328" s="44">
        <v>30237518</v>
      </c>
      <c r="D328" s="44" t="s">
        <v>1837</v>
      </c>
      <c r="E328" s="45">
        <v>1000</v>
      </c>
    </row>
    <row r="329" spans="3:5" ht="15" customHeight="1" x14ac:dyDescent="0.25">
      <c r="C329" s="42">
        <v>10189021</v>
      </c>
      <c r="D329" s="42" t="s">
        <v>1838</v>
      </c>
      <c r="E329" s="43">
        <v>6570</v>
      </c>
    </row>
    <row r="330" spans="3:5" ht="15" customHeight="1" x14ac:dyDescent="0.25">
      <c r="C330" s="44">
        <v>10263073</v>
      </c>
      <c r="D330" s="44" t="s">
        <v>1839</v>
      </c>
      <c r="E330" s="45">
        <v>3552</v>
      </c>
    </row>
    <row r="331" spans="3:5" ht="15" customHeight="1" x14ac:dyDescent="0.25">
      <c r="C331" s="42">
        <v>10189021</v>
      </c>
      <c r="D331" s="42" t="s">
        <v>1840</v>
      </c>
      <c r="E331" s="43">
        <v>6570</v>
      </c>
    </row>
    <row r="332" spans="3:5" ht="15" customHeight="1" x14ac:dyDescent="0.25">
      <c r="C332" s="44">
        <v>10013235</v>
      </c>
      <c r="D332" s="44" t="s">
        <v>1841</v>
      </c>
      <c r="E332" s="45">
        <v>1532</v>
      </c>
    </row>
    <row r="333" spans="3:5" ht="15" customHeight="1" x14ac:dyDescent="0.25">
      <c r="C333" s="42">
        <v>10121240</v>
      </c>
      <c r="D333" s="42" t="s">
        <v>1842</v>
      </c>
      <c r="E333" s="43">
        <v>10000</v>
      </c>
    </row>
    <row r="334" spans="3:5" ht="15" customHeight="1" x14ac:dyDescent="0.25">
      <c r="C334" s="44">
        <v>10263073</v>
      </c>
      <c r="D334" s="44" t="s">
        <v>1843</v>
      </c>
      <c r="E334" s="45">
        <v>3552</v>
      </c>
    </row>
    <row r="335" spans="3:5" ht="15" customHeight="1" x14ac:dyDescent="0.25">
      <c r="C335" s="42">
        <v>10106743</v>
      </c>
      <c r="D335" s="42" t="s">
        <v>1844</v>
      </c>
      <c r="E335" s="43">
        <v>1080</v>
      </c>
    </row>
    <row r="336" spans="3:5" ht="15" customHeight="1" x14ac:dyDescent="0.25">
      <c r="C336" s="44">
        <v>10110852</v>
      </c>
      <c r="D336" s="44" t="s">
        <v>1845</v>
      </c>
      <c r="E336" s="45">
        <v>1140</v>
      </c>
    </row>
    <row r="337" spans="3:5" ht="15" customHeight="1" x14ac:dyDescent="0.25">
      <c r="C337" s="42">
        <v>10112748</v>
      </c>
      <c r="D337" s="42" t="s">
        <v>1846</v>
      </c>
      <c r="E337" s="43">
        <v>2400</v>
      </c>
    </row>
    <row r="338" spans="3:5" ht="15" customHeight="1" x14ac:dyDescent="0.25">
      <c r="C338" s="44">
        <v>10121432</v>
      </c>
      <c r="D338" s="44" t="s">
        <v>1847</v>
      </c>
      <c r="E338" s="45">
        <v>12311</v>
      </c>
    </row>
    <row r="339" spans="3:5" ht="15" customHeight="1" x14ac:dyDescent="0.25">
      <c r="C339" s="42">
        <v>10148998</v>
      </c>
      <c r="D339" s="42" t="s">
        <v>1848</v>
      </c>
      <c r="E339" s="43">
        <v>2653</v>
      </c>
    </row>
    <row r="340" spans="3:5" ht="15" customHeight="1" x14ac:dyDescent="0.25">
      <c r="C340" s="44">
        <v>10154772</v>
      </c>
      <c r="D340" s="44" t="s">
        <v>1849</v>
      </c>
      <c r="E340" s="45">
        <v>3065</v>
      </c>
    </row>
    <row r="341" spans="3:5" ht="15" customHeight="1" x14ac:dyDescent="0.25">
      <c r="C341" s="42">
        <v>10161573</v>
      </c>
      <c r="D341" s="42" t="s">
        <v>1850</v>
      </c>
      <c r="E341" s="43">
        <v>2370</v>
      </c>
    </row>
    <row r="342" spans="3:5" ht="15" customHeight="1" x14ac:dyDescent="0.25">
      <c r="C342" s="44">
        <v>10148291</v>
      </c>
      <c r="D342" s="44" t="s">
        <v>1851</v>
      </c>
      <c r="E342" s="45">
        <v>1097</v>
      </c>
    </row>
    <row r="343" spans="3:5" ht="15" customHeight="1" x14ac:dyDescent="0.25">
      <c r="C343" s="42">
        <v>10026380</v>
      </c>
      <c r="D343" s="42" t="s">
        <v>1852</v>
      </c>
      <c r="E343" s="43">
        <v>1065</v>
      </c>
    </row>
    <row r="344" spans="3:5" ht="15" customHeight="1" x14ac:dyDescent="0.25">
      <c r="C344" s="44">
        <v>10121285</v>
      </c>
      <c r="D344" s="44" t="s">
        <v>1853</v>
      </c>
      <c r="E344" s="45">
        <v>1560</v>
      </c>
    </row>
    <row r="345" spans="3:5" ht="15" customHeight="1" x14ac:dyDescent="0.25">
      <c r="C345" s="42">
        <v>30053621</v>
      </c>
      <c r="D345" s="42" t="s">
        <v>1854</v>
      </c>
      <c r="E345" s="43">
        <v>5080</v>
      </c>
    </row>
    <row r="346" spans="3:5" ht="15" customHeight="1" x14ac:dyDescent="0.25">
      <c r="C346" s="44">
        <v>10191836</v>
      </c>
      <c r="D346" s="44" t="s">
        <v>1855</v>
      </c>
      <c r="E346" s="45">
        <v>11000</v>
      </c>
    </row>
    <row r="347" spans="3:5" ht="15" customHeight="1" x14ac:dyDescent="0.25">
      <c r="C347" s="42">
        <v>10189087</v>
      </c>
      <c r="D347" s="42" t="s">
        <v>1856</v>
      </c>
      <c r="E347" s="43">
        <v>10371</v>
      </c>
    </row>
    <row r="348" spans="3:5" ht="15" customHeight="1" x14ac:dyDescent="0.25">
      <c r="C348" s="44">
        <v>10189071</v>
      </c>
      <c r="D348" s="44" t="s">
        <v>1857</v>
      </c>
      <c r="E348" s="45">
        <v>10356</v>
      </c>
    </row>
    <row r="349" spans="3:5" ht="15" customHeight="1" x14ac:dyDescent="0.25">
      <c r="C349" s="42">
        <v>10209231</v>
      </c>
      <c r="D349" s="42" t="s">
        <v>1858</v>
      </c>
      <c r="E349" s="43">
        <v>5000</v>
      </c>
    </row>
    <row r="350" spans="3:5" ht="15" customHeight="1" x14ac:dyDescent="0.25">
      <c r="C350" s="44">
        <v>10209231</v>
      </c>
      <c r="D350" s="44" t="s">
        <v>1859</v>
      </c>
      <c r="E350" s="45">
        <v>5000</v>
      </c>
    </row>
    <row r="351" spans="3:5" ht="15" customHeight="1" x14ac:dyDescent="0.25">
      <c r="C351" s="42">
        <v>10146894</v>
      </c>
      <c r="D351" s="42" t="s">
        <v>1860</v>
      </c>
      <c r="E351" s="43">
        <v>16290</v>
      </c>
    </row>
    <row r="352" spans="3:5" ht="15" customHeight="1" x14ac:dyDescent="0.25">
      <c r="C352" s="44">
        <v>10146894</v>
      </c>
      <c r="D352" s="44" t="s">
        <v>1861</v>
      </c>
      <c r="E352" s="45">
        <v>16290</v>
      </c>
    </row>
    <row r="353" spans="3:5" ht="15" customHeight="1" x14ac:dyDescent="0.25">
      <c r="C353" s="42">
        <v>10042373</v>
      </c>
      <c r="D353" s="42" t="s">
        <v>1862</v>
      </c>
      <c r="E353" s="43">
        <v>1339</v>
      </c>
    </row>
    <row r="354" spans="3:5" ht="15" customHeight="1" x14ac:dyDescent="0.25">
      <c r="C354" s="44">
        <v>10202206</v>
      </c>
      <c r="D354" s="44" t="s">
        <v>1863</v>
      </c>
      <c r="E354" s="45">
        <v>2738</v>
      </c>
    </row>
    <row r="355" spans="3:5" ht="15" customHeight="1" x14ac:dyDescent="0.25">
      <c r="C355" s="42">
        <v>10121320</v>
      </c>
      <c r="D355" s="42" t="s">
        <v>1864</v>
      </c>
      <c r="E355" s="43">
        <v>2020</v>
      </c>
    </row>
    <row r="356" spans="3:5" ht="15" customHeight="1" x14ac:dyDescent="0.25">
      <c r="C356" s="44">
        <v>10161395</v>
      </c>
      <c r="D356" s="44" t="s">
        <v>1865</v>
      </c>
      <c r="E356" s="45">
        <v>2278</v>
      </c>
    </row>
    <row r="357" spans="3:5" ht="15" customHeight="1" x14ac:dyDescent="0.25">
      <c r="C357" s="42">
        <v>10232524</v>
      </c>
      <c r="D357" s="42" t="s">
        <v>1866</v>
      </c>
      <c r="E357" s="43">
        <v>1166</v>
      </c>
    </row>
    <row r="358" spans="3:5" ht="15" customHeight="1" x14ac:dyDescent="0.25">
      <c r="C358" s="44">
        <v>30200841</v>
      </c>
      <c r="D358" s="44" t="s">
        <v>1867</v>
      </c>
      <c r="E358" s="45">
        <v>70000</v>
      </c>
    </row>
    <row r="359" spans="3:5" ht="15" customHeight="1" x14ac:dyDescent="0.25">
      <c r="C359" s="42">
        <v>30209180</v>
      </c>
      <c r="D359" s="42" t="s">
        <v>1868</v>
      </c>
      <c r="E359" s="43">
        <v>3127</v>
      </c>
    </row>
    <row r="360" spans="3:5" ht="15" customHeight="1" x14ac:dyDescent="0.25">
      <c r="C360" s="44">
        <v>30200841</v>
      </c>
      <c r="D360" s="44" t="s">
        <v>1869</v>
      </c>
      <c r="E360" s="45">
        <v>70000</v>
      </c>
    </row>
    <row r="361" spans="3:5" ht="15" customHeight="1" x14ac:dyDescent="0.25">
      <c r="C361" s="42">
        <v>10006319</v>
      </c>
      <c r="D361" s="42" t="s">
        <v>1870</v>
      </c>
      <c r="E361" s="43">
        <v>1010</v>
      </c>
    </row>
    <row r="362" spans="3:5" ht="15" customHeight="1" x14ac:dyDescent="0.25">
      <c r="C362" s="44">
        <v>10121359</v>
      </c>
      <c r="D362" s="44" t="s">
        <v>1871</v>
      </c>
      <c r="E362" s="45">
        <v>3056</v>
      </c>
    </row>
    <row r="363" spans="3:5" ht="15" customHeight="1" x14ac:dyDescent="0.25">
      <c r="C363" s="42">
        <v>10121782</v>
      </c>
      <c r="D363" s="42" t="s">
        <v>1872</v>
      </c>
      <c r="E363" s="43">
        <v>2400</v>
      </c>
    </row>
    <row r="364" spans="3:5" ht="15" customHeight="1" x14ac:dyDescent="0.25">
      <c r="C364" s="44">
        <v>10121924</v>
      </c>
      <c r="D364" s="44" t="s">
        <v>1873</v>
      </c>
      <c r="E364" s="45">
        <v>1165</v>
      </c>
    </row>
    <row r="365" spans="3:5" ht="15" customHeight="1" x14ac:dyDescent="0.25">
      <c r="C365" s="42">
        <v>10122553</v>
      </c>
      <c r="D365" s="42" t="s">
        <v>1874</v>
      </c>
      <c r="E365" s="43">
        <v>1070</v>
      </c>
    </row>
    <row r="366" spans="3:5" ht="15" customHeight="1" x14ac:dyDescent="0.25">
      <c r="C366" s="44">
        <v>10122597</v>
      </c>
      <c r="D366" s="44" t="s">
        <v>1875</v>
      </c>
      <c r="E366" s="44">
        <v>935</v>
      </c>
    </row>
    <row r="367" spans="3:5" ht="15" customHeight="1" x14ac:dyDescent="0.25">
      <c r="C367" s="42">
        <v>10122642</v>
      </c>
      <c r="D367" s="42" t="s">
        <v>1876</v>
      </c>
      <c r="E367" s="42">
        <v>742</v>
      </c>
    </row>
    <row r="368" spans="3:5" ht="15" customHeight="1" x14ac:dyDescent="0.25">
      <c r="C368" s="44">
        <v>10125329</v>
      </c>
      <c r="D368" s="44" t="s">
        <v>1877</v>
      </c>
      <c r="E368" s="45">
        <v>36539</v>
      </c>
    </row>
    <row r="369" spans="3:5" ht="15" customHeight="1" x14ac:dyDescent="0.25">
      <c r="C369" s="42">
        <v>10014359</v>
      </c>
      <c r="D369" s="42" t="s">
        <v>1878</v>
      </c>
      <c r="E369" s="43">
        <v>3000</v>
      </c>
    </row>
    <row r="370" spans="3:5" ht="15" customHeight="1" x14ac:dyDescent="0.25">
      <c r="C370" s="44">
        <v>10128586</v>
      </c>
      <c r="D370" s="44" t="s">
        <v>1879</v>
      </c>
      <c r="E370" s="45">
        <v>2350</v>
      </c>
    </row>
    <row r="371" spans="3:5" ht="15" customHeight="1" x14ac:dyDescent="0.25">
      <c r="C371" s="42">
        <v>10129296</v>
      </c>
      <c r="D371" s="42" t="s">
        <v>1880</v>
      </c>
      <c r="E371" s="43">
        <v>19552</v>
      </c>
    </row>
    <row r="372" spans="3:5" ht="15" customHeight="1" x14ac:dyDescent="0.25">
      <c r="C372" s="44">
        <v>10129463</v>
      </c>
      <c r="D372" s="44" t="s">
        <v>1881</v>
      </c>
      <c r="E372" s="45">
        <v>3100</v>
      </c>
    </row>
    <row r="373" spans="3:5" ht="15" customHeight="1" x14ac:dyDescent="0.25">
      <c r="C373" s="42">
        <v>10129888</v>
      </c>
      <c r="D373" s="42" t="s">
        <v>1882</v>
      </c>
      <c r="E373" s="43">
        <v>4762</v>
      </c>
    </row>
    <row r="374" spans="3:5" ht="15" customHeight="1" x14ac:dyDescent="0.25">
      <c r="C374" s="44">
        <v>10129889</v>
      </c>
      <c r="D374" s="44" t="s">
        <v>1883</v>
      </c>
      <c r="E374" s="45">
        <v>5726</v>
      </c>
    </row>
    <row r="375" spans="3:5" ht="15" customHeight="1" x14ac:dyDescent="0.25">
      <c r="C375" s="42">
        <v>10130287</v>
      </c>
      <c r="D375" s="42" t="s">
        <v>1884</v>
      </c>
      <c r="E375" s="43">
        <v>4100</v>
      </c>
    </row>
    <row r="376" spans="3:5" ht="15" customHeight="1" x14ac:dyDescent="0.25">
      <c r="C376" s="44">
        <v>10130425</v>
      </c>
      <c r="D376" s="44" t="s">
        <v>1885</v>
      </c>
      <c r="E376" s="45">
        <v>1037</v>
      </c>
    </row>
    <row r="377" spans="3:5" ht="15" customHeight="1" x14ac:dyDescent="0.25">
      <c r="C377" s="42">
        <v>10131906</v>
      </c>
      <c r="D377" s="42" t="s">
        <v>1886</v>
      </c>
      <c r="E377" s="43">
        <v>3477</v>
      </c>
    </row>
    <row r="378" spans="3:5" ht="15" customHeight="1" x14ac:dyDescent="0.25">
      <c r="C378" s="44">
        <v>10133711</v>
      </c>
      <c r="D378" s="44" t="s">
        <v>1887</v>
      </c>
      <c r="E378" s="45">
        <v>1503</v>
      </c>
    </row>
    <row r="379" spans="3:5" ht="15" customHeight="1" x14ac:dyDescent="0.25">
      <c r="C379" s="42">
        <v>10135846</v>
      </c>
      <c r="D379" s="42" t="s">
        <v>1888</v>
      </c>
      <c r="E379" s="43">
        <v>1128</v>
      </c>
    </row>
    <row r="380" spans="3:5" ht="15" customHeight="1" x14ac:dyDescent="0.25">
      <c r="C380" s="44">
        <v>10015333</v>
      </c>
      <c r="D380" s="44" t="s">
        <v>1889</v>
      </c>
      <c r="E380" s="45">
        <v>2197</v>
      </c>
    </row>
    <row r="381" spans="3:5" ht="15" customHeight="1" x14ac:dyDescent="0.25">
      <c r="C381" s="42">
        <v>10136442</v>
      </c>
      <c r="D381" s="42" t="s">
        <v>1890</v>
      </c>
      <c r="E381" s="43">
        <v>2270</v>
      </c>
    </row>
    <row r="382" spans="3:5" ht="15" customHeight="1" x14ac:dyDescent="0.25">
      <c r="C382" s="44">
        <v>10136511</v>
      </c>
      <c r="D382" s="44" t="s">
        <v>1891</v>
      </c>
      <c r="E382" s="45">
        <v>1550</v>
      </c>
    </row>
    <row r="383" spans="3:5" ht="15" customHeight="1" x14ac:dyDescent="0.25">
      <c r="C383" s="42">
        <v>10136924</v>
      </c>
      <c r="D383" s="42" t="s">
        <v>1892</v>
      </c>
      <c r="E383" s="43">
        <v>1533</v>
      </c>
    </row>
    <row r="384" spans="3:5" ht="15" customHeight="1" x14ac:dyDescent="0.25">
      <c r="C384" s="44">
        <v>10136960</v>
      </c>
      <c r="D384" s="44" t="s">
        <v>1893</v>
      </c>
      <c r="E384" s="45">
        <v>2206</v>
      </c>
    </row>
    <row r="385" spans="3:5" ht="15" customHeight="1" x14ac:dyDescent="0.25">
      <c r="C385" s="42">
        <v>10138130</v>
      </c>
      <c r="D385" s="42" t="s">
        <v>1894</v>
      </c>
      <c r="E385" s="43">
        <v>1289</v>
      </c>
    </row>
    <row r="386" spans="3:5" ht="15" customHeight="1" x14ac:dyDescent="0.25">
      <c r="C386" s="44">
        <v>10140154</v>
      </c>
      <c r="D386" s="44" t="s">
        <v>1895</v>
      </c>
      <c r="E386" s="45">
        <v>1077</v>
      </c>
    </row>
    <row r="387" spans="3:5" ht="15" customHeight="1" x14ac:dyDescent="0.25">
      <c r="C387" s="42">
        <v>10144858</v>
      </c>
      <c r="D387" s="42" t="s">
        <v>1896</v>
      </c>
      <c r="E387" s="43">
        <v>3853</v>
      </c>
    </row>
    <row r="388" spans="3:5" ht="15" customHeight="1" x14ac:dyDescent="0.25">
      <c r="C388" s="44">
        <v>10145100</v>
      </c>
      <c r="D388" s="44" t="s">
        <v>1897</v>
      </c>
      <c r="E388" s="45">
        <v>1507</v>
      </c>
    </row>
    <row r="389" spans="3:5" ht="15" customHeight="1" x14ac:dyDescent="0.25">
      <c r="C389" s="42">
        <v>10145833</v>
      </c>
      <c r="D389" s="42" t="s">
        <v>1898</v>
      </c>
      <c r="E389" s="43">
        <v>3020</v>
      </c>
    </row>
    <row r="390" spans="3:5" ht="15" customHeight="1" x14ac:dyDescent="0.25">
      <c r="C390" s="44">
        <v>10145875</v>
      </c>
      <c r="D390" s="44" t="s">
        <v>1899</v>
      </c>
      <c r="E390" s="45">
        <v>1724</v>
      </c>
    </row>
    <row r="391" spans="3:5" ht="15" customHeight="1" x14ac:dyDescent="0.25">
      <c r="C391" s="42">
        <v>10017421</v>
      </c>
      <c r="D391" s="42" t="s">
        <v>1900</v>
      </c>
      <c r="E391" s="43">
        <v>2001</v>
      </c>
    </row>
    <row r="392" spans="3:5" ht="15" customHeight="1" x14ac:dyDescent="0.25">
      <c r="C392" s="44">
        <v>10146180</v>
      </c>
      <c r="D392" s="44" t="s">
        <v>1901</v>
      </c>
      <c r="E392" s="45">
        <v>2036</v>
      </c>
    </row>
    <row r="393" spans="3:5" ht="15" customHeight="1" x14ac:dyDescent="0.25">
      <c r="C393" s="42">
        <v>10148937</v>
      </c>
      <c r="D393" s="42" t="s">
        <v>1902</v>
      </c>
      <c r="E393" s="43">
        <v>2200</v>
      </c>
    </row>
    <row r="394" spans="3:5" ht="15" customHeight="1" x14ac:dyDescent="0.25">
      <c r="C394" s="44">
        <v>10149455</v>
      </c>
      <c r="D394" s="44" t="s">
        <v>1903</v>
      </c>
      <c r="E394" s="45">
        <v>1522</v>
      </c>
    </row>
    <row r="395" spans="3:5" ht="15" customHeight="1" x14ac:dyDescent="0.25">
      <c r="C395" s="42">
        <v>10154742</v>
      </c>
      <c r="D395" s="42" t="s">
        <v>1904</v>
      </c>
      <c r="E395" s="43">
        <v>4000</v>
      </c>
    </row>
    <row r="396" spans="3:5" ht="15" customHeight="1" x14ac:dyDescent="0.25">
      <c r="C396" s="44">
        <v>10155805</v>
      </c>
      <c r="D396" s="44" t="s">
        <v>1905</v>
      </c>
      <c r="E396" s="45">
        <v>2000</v>
      </c>
    </row>
    <row r="397" spans="3:5" ht="15" customHeight="1" x14ac:dyDescent="0.25">
      <c r="C397" s="42">
        <v>10157710</v>
      </c>
      <c r="D397" s="42" t="s">
        <v>1906</v>
      </c>
      <c r="E397" s="42">
        <v>808</v>
      </c>
    </row>
    <row r="398" spans="3:5" ht="15" customHeight="1" x14ac:dyDescent="0.25">
      <c r="C398" s="44">
        <v>10159720</v>
      </c>
      <c r="D398" s="44" t="s">
        <v>1907</v>
      </c>
      <c r="E398" s="45">
        <v>5311</v>
      </c>
    </row>
    <row r="399" spans="3:5" ht="15" customHeight="1" x14ac:dyDescent="0.25">
      <c r="C399" s="42">
        <v>10161088</v>
      </c>
      <c r="D399" s="42" t="s">
        <v>1908</v>
      </c>
      <c r="E399" s="43">
        <v>1030</v>
      </c>
    </row>
    <row r="400" spans="3:5" ht="15" customHeight="1" x14ac:dyDescent="0.25">
      <c r="C400" s="44">
        <v>10167824</v>
      </c>
      <c r="D400" s="44" t="s">
        <v>1909</v>
      </c>
      <c r="E400" s="45">
        <v>1530</v>
      </c>
    </row>
    <row r="401" spans="3:5" ht="15" customHeight="1" x14ac:dyDescent="0.25">
      <c r="C401" s="42">
        <v>10169171</v>
      </c>
      <c r="D401" s="42" t="s">
        <v>1910</v>
      </c>
      <c r="E401" s="43">
        <v>3330</v>
      </c>
    </row>
    <row r="402" spans="3:5" ht="15" customHeight="1" x14ac:dyDescent="0.25">
      <c r="C402" s="44">
        <v>10017877</v>
      </c>
      <c r="D402" s="44" t="s">
        <v>1911</v>
      </c>
      <c r="E402" s="45">
        <v>1999</v>
      </c>
    </row>
    <row r="403" spans="3:5" ht="15" customHeight="1" x14ac:dyDescent="0.25">
      <c r="C403" s="42">
        <v>10171265</v>
      </c>
      <c r="D403" s="42" t="s">
        <v>1912</v>
      </c>
      <c r="E403" s="43">
        <v>3200</v>
      </c>
    </row>
    <row r="404" spans="3:5" ht="15" customHeight="1" x14ac:dyDescent="0.25">
      <c r="C404" s="44">
        <v>10174185</v>
      </c>
      <c r="D404" s="44" t="s">
        <v>1913</v>
      </c>
      <c r="E404" s="45">
        <v>5000</v>
      </c>
    </row>
    <row r="405" spans="3:5" ht="15" customHeight="1" x14ac:dyDescent="0.25">
      <c r="C405" s="42">
        <v>10175397</v>
      </c>
      <c r="D405" s="42" t="s">
        <v>1914</v>
      </c>
      <c r="E405" s="43">
        <v>1270</v>
      </c>
    </row>
    <row r="406" spans="3:5" ht="15" customHeight="1" x14ac:dyDescent="0.25">
      <c r="C406" s="44">
        <v>10176600</v>
      </c>
      <c r="D406" s="44" t="s">
        <v>1915</v>
      </c>
      <c r="E406" s="45">
        <v>5323</v>
      </c>
    </row>
    <row r="407" spans="3:5" ht="15" customHeight="1" x14ac:dyDescent="0.25">
      <c r="C407" s="42">
        <v>10179016</v>
      </c>
      <c r="D407" s="42" t="s">
        <v>1916</v>
      </c>
      <c r="E407" s="43">
        <v>6204</v>
      </c>
    </row>
    <row r="408" spans="3:5" ht="15" customHeight="1" x14ac:dyDescent="0.25">
      <c r="C408" s="44">
        <v>10181675</v>
      </c>
      <c r="D408" s="44" t="s">
        <v>1917</v>
      </c>
      <c r="E408" s="45">
        <v>20500</v>
      </c>
    </row>
    <row r="409" spans="3:5" ht="15" customHeight="1" x14ac:dyDescent="0.25">
      <c r="C409" s="42">
        <v>10183963</v>
      </c>
      <c r="D409" s="42" t="s">
        <v>1918</v>
      </c>
      <c r="E409" s="43">
        <v>3000</v>
      </c>
    </row>
    <row r="410" spans="3:5" ht="15" customHeight="1" x14ac:dyDescent="0.25">
      <c r="C410" s="44">
        <v>10185377</v>
      </c>
      <c r="D410" s="44" t="s">
        <v>1919</v>
      </c>
      <c r="E410" s="45">
        <v>6570</v>
      </c>
    </row>
    <row r="411" spans="3:5" ht="15" customHeight="1" x14ac:dyDescent="0.25">
      <c r="C411" s="42">
        <v>10187591</v>
      </c>
      <c r="D411" s="42" t="s">
        <v>1920</v>
      </c>
      <c r="E411" s="43">
        <v>5368</v>
      </c>
    </row>
    <row r="412" spans="3:5" ht="15" customHeight="1" x14ac:dyDescent="0.25">
      <c r="C412" s="44">
        <v>10187951</v>
      </c>
      <c r="D412" s="44" t="s">
        <v>1921</v>
      </c>
      <c r="E412" s="44">
        <v>950</v>
      </c>
    </row>
    <row r="413" spans="3:5" ht="15" customHeight="1" x14ac:dyDescent="0.25">
      <c r="C413" s="42">
        <v>10021290</v>
      </c>
      <c r="D413" s="42" t="s">
        <v>1922</v>
      </c>
      <c r="E413" s="43">
        <v>3040</v>
      </c>
    </row>
    <row r="414" spans="3:5" ht="15" customHeight="1" x14ac:dyDescent="0.25">
      <c r="C414" s="44">
        <v>10188865</v>
      </c>
      <c r="D414" s="44" t="s">
        <v>1923</v>
      </c>
      <c r="E414" s="45">
        <v>2200</v>
      </c>
    </row>
    <row r="415" spans="3:5" ht="15" customHeight="1" x14ac:dyDescent="0.25">
      <c r="C415" s="42">
        <v>10191272</v>
      </c>
      <c r="D415" s="42" t="s">
        <v>1924</v>
      </c>
      <c r="E415" s="43">
        <v>1769</v>
      </c>
    </row>
    <row r="416" spans="3:5" ht="15" customHeight="1" x14ac:dyDescent="0.25">
      <c r="C416" s="44">
        <v>10191767</v>
      </c>
      <c r="D416" s="44" t="s">
        <v>1925</v>
      </c>
      <c r="E416" s="45">
        <v>8756</v>
      </c>
    </row>
    <row r="417" spans="3:5" ht="15" customHeight="1" x14ac:dyDescent="0.25">
      <c r="C417" s="42">
        <v>10197060</v>
      </c>
      <c r="D417" s="42" t="s">
        <v>1926</v>
      </c>
      <c r="E417" s="43">
        <v>3300</v>
      </c>
    </row>
    <row r="418" spans="3:5" ht="15" customHeight="1" x14ac:dyDescent="0.25">
      <c r="C418" s="44">
        <v>10197401</v>
      </c>
      <c r="D418" s="44" t="s">
        <v>1927</v>
      </c>
      <c r="E418" s="45">
        <v>2000</v>
      </c>
    </row>
    <row r="419" spans="3:5" ht="15" customHeight="1" x14ac:dyDescent="0.25">
      <c r="C419" s="42">
        <v>10197488</v>
      </c>
      <c r="D419" s="42" t="s">
        <v>1928</v>
      </c>
      <c r="E419" s="43">
        <v>5300</v>
      </c>
    </row>
    <row r="420" spans="3:5" ht="15" customHeight="1" x14ac:dyDescent="0.25">
      <c r="C420" s="44">
        <v>10199310</v>
      </c>
      <c r="D420" s="44" t="s">
        <v>1929</v>
      </c>
      <c r="E420" s="45">
        <v>6500</v>
      </c>
    </row>
    <row r="421" spans="3:5" ht="15" customHeight="1" x14ac:dyDescent="0.25">
      <c r="C421" s="42">
        <v>10199762</v>
      </c>
      <c r="D421" s="42" t="s">
        <v>1930</v>
      </c>
      <c r="E421" s="43">
        <v>4000</v>
      </c>
    </row>
    <row r="422" spans="3:5" ht="15" customHeight="1" x14ac:dyDescent="0.25">
      <c r="C422" s="44">
        <v>10202519</v>
      </c>
      <c r="D422" s="44" t="s">
        <v>1931</v>
      </c>
      <c r="E422" s="45">
        <v>1023</v>
      </c>
    </row>
    <row r="423" spans="3:5" ht="15" customHeight="1" x14ac:dyDescent="0.25">
      <c r="C423" s="42">
        <v>10209135</v>
      </c>
      <c r="D423" s="42" t="s">
        <v>1932</v>
      </c>
      <c r="E423" s="43">
        <v>15367</v>
      </c>
    </row>
    <row r="424" spans="3:5" ht="15" customHeight="1" x14ac:dyDescent="0.25">
      <c r="C424" s="42">
        <v>10000179</v>
      </c>
      <c r="D424" s="42" t="s">
        <v>1934</v>
      </c>
      <c r="E424" s="43">
        <v>1369</v>
      </c>
    </row>
    <row r="425" spans="3:5" ht="15" customHeight="1" x14ac:dyDescent="0.25">
      <c r="C425" s="44">
        <v>10000255</v>
      </c>
      <c r="D425" s="44" t="s">
        <v>1934</v>
      </c>
      <c r="E425" s="44">
        <v>361</v>
      </c>
    </row>
  </sheetData>
  <sortState ref="C2:E425">
    <sortCondition ref="D2:D4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Nayomi Edirisinghe</dc:creator>
  <cp:lastModifiedBy>Nayomi Edirisinghe</cp:lastModifiedBy>
  <dcterms:created xsi:type="dcterms:W3CDTF">2017-07-24T09:57:36Z</dcterms:created>
  <dcterms:modified xsi:type="dcterms:W3CDTF">2017-07-24T11:20:20Z</dcterms:modified>
</cp:coreProperties>
</file>